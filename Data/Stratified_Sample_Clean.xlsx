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private\NIU\Thesis\"/>
    </mc:Choice>
  </mc:AlternateContent>
  <xr:revisionPtr revIDLastSave="0" documentId="13_ncr:1_{45EEE748-B8ED-45C9-A5ED-CDF0E01EA480}" xr6:coauthVersionLast="47" xr6:coauthVersionMax="47" xr10:uidLastSave="{00000000-0000-0000-0000-000000000000}"/>
  <bookViews>
    <workbookView xWindow="-120" yWindow="-120" windowWidth="29040" windowHeight="15720" activeTab="1" xr2:uid="{00000000-000D-0000-FFFF-FFFF00000000}"/>
  </bookViews>
  <sheets>
    <sheet name="Sheet2" sheetId="2" r:id="rId1"/>
    <sheet name="Sheet1" sheetId="1"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alcChain>
</file>

<file path=xl/sharedStrings.xml><?xml version="1.0" encoding="utf-8"?>
<sst xmlns="http://schemas.openxmlformats.org/spreadsheetml/2006/main" count="807" uniqueCount="467">
  <si>
    <t>EvaluationBK</t>
  </si>
  <si>
    <t>EvaluationSK</t>
  </si>
  <si>
    <t>ExperimentSK</t>
  </si>
  <si>
    <t>DIME_Domain</t>
  </si>
  <si>
    <t>System_Code</t>
  </si>
  <si>
    <t>Evidence</t>
  </si>
  <si>
    <t>HypothesisText</t>
  </si>
  <si>
    <t>Rationale_Adequate</t>
  </si>
  <si>
    <t>Confidence_Plausible</t>
  </si>
  <si>
    <t>Hallucination_Present</t>
  </si>
  <si>
    <t>B713DFA9-ED8E-47CB-8417-1FF0F930718E</t>
  </si>
  <si>
    <t>Information</t>
  </si>
  <si>
    <t>Redland’s President privately told a third-party intelligence chief that fighting must begin within the next few months to provoke international intervention.</t>
  </si>
  <si>
    <t>Over the next 3–6 months, Redland emphasizes narratives blaming external actors for economic hardship and highlights readiness/civil defense to maintain regime legitimacy without committing to near‑term combat; observables: state media themes, civil defense campaigns, mobilization of reserves for domestic roles, and stepped‑up repression of dissent.</t>
  </si>
  <si>
    <t>5DA4EDB4-97E2-4CDA-9F4D-4716DFB032DB</t>
  </si>
  <si>
    <t>Redland’s President privately told a third-party intelligence chief in April 2025 that fighting must start within months to provoke international intervention.</t>
  </si>
  <si>
    <t>Within 3–6 months, Redland will prioritize regime stability by shaping internal narratives (civil defense publicity, scapegoating external actors) and applying cyber and law-enforcement measures (censorship, surveillance, disruption of opposition) to manage pressure for action on the Border Zone while avoiding interstate escalation; observable indicators include tightened media controls, coordinated government messaging, arrests or silencing of critics, increased internal security operations, and public consumption campaigns emphasizing external threats.</t>
  </si>
  <si>
    <t>9B6E2978-177E-484D-AA70-A6D13DC30C32</t>
  </si>
  <si>
    <t>Military</t>
  </si>
  <si>
    <t>Redland’s President stated in a May speech he felt pressure from the Union to pursue a 'peaceful solution.'</t>
  </si>
  <si>
    <t>Within 3–6 months, Redland will execute a limited air campaign—precision airstrikes, stand‑off fires, and intensified IADS operations—targeting Border Zone positions to coerce Blueland to change its posture while avoiding a major ground invasion.</t>
  </si>
  <si>
    <t>49FAC00C-FA12-4A76-9C65-4016ACED3C9A</t>
  </si>
  <si>
    <t>It was assessed these aircraft could complicate Blueland defense if Redland and Northland launch a coordinated strike.</t>
  </si>
  <si>
    <t>Within 3–6 months, Redland will emphasize defensive strategic communications (civil defense messaging, threat framing, coordinated alliance messaging) to justify Border Zone militarization, build domestic and international legitimacy, and reduce incentives for adversary escalation while avoiding rhetoric that commits it to initiating war.</t>
  </si>
  <si>
    <t>E390C1B7-9799-40E7-9B49-364485316940</t>
  </si>
  <si>
    <t>Economic</t>
  </si>
  <si>
    <t>A Federation memo stated Redland and Northland discussed resuming hostilities in May 2025 planning sessions and that Redland increased readiness as of Sept 26.</t>
  </si>
  <si>
    <t>Within 3–6 months, Redland will employ energy and other commodity measures (production cuts, embargoes, preferential supply deals, or organized boycotts) to raise external economic costs on Blueland and the Federation and compel diplomatic engagement; observable indicators include announced or implemented supply reductions, rerouting of exports, sudden changes to trade contracts, public coordination with buyers/suppliers, and messaging linking supply adjustments to political demands.</t>
  </si>
  <si>
    <t>0F31320D-9B0B-4FBB-B28E-552DFA1B85C9</t>
  </si>
  <si>
    <t>A Federation Council memo assessed Redland’s internal military preparations were not practical steps towards war and the probability of renewed hostilities was low.</t>
  </si>
  <si>
    <t>Over the next 3–6 months, Redland enables a Northland‑led offensive through air defense, ISR, logistics, advisors, and limited ground elements while keeping principal forces defensively postured; observables: munitions/logistics transfers to Northland, advisory deployments, Northland‑initiated attacks, and limited official Redland cross‑border incidents.</t>
  </si>
  <si>
    <t>642C1106-EC71-4F82-927A-D2B6D8E40BF5</t>
  </si>
  <si>
    <t>Redland placed notable SA-6 deployments protecting the Capital Airfield area, but readiness and positioning varied March–May 2025.</t>
  </si>
  <si>
    <t>Within 3–6 months, Redland mounts a combined-arms ground offensive into the Border Zone to seize and occupy limited, militarily advantageous terrain (ridgelines, crossings, buffer areas)—observable via troop crossings, sustained presence at seized positions, fortification construction, combat reports, and changes in control on ground imagery—intended to improve bargaining leverage.</t>
  </si>
  <si>
    <t>E4BB834E-97DF-46B9-8467-3622CFBD278E</t>
  </si>
  <si>
    <t>Mirage fighters deployed in Redland were assessed as the only aircraft with low-altitude radius capable of penetrating Blueland defenses to strike Blueland.</t>
  </si>
  <si>
    <t>Within 3–6 months, Redland will prioritize internal information control (media restrictions, elite messaging, patriotic campaigns) and economic stabilization measures to manage public pressure stemming from the Border Zone stalemate, using external messaging primarily to shore up regime legitimacy.</t>
  </si>
  <si>
    <t>B0AD2B10-5E6F-4FD7-8059-782003022D18</t>
  </si>
  <si>
    <t>Diplomatic</t>
  </si>
  <si>
    <t>Over the next 3–6 months, Redland negotiates a formal ceasefire/pause in the Border Zone that preserves the status quo and reduces military and economic burdens; observables: signed pause agreements, deployment freezes, international monitors on site, and a measurable decline in combat incident reports.</t>
  </si>
  <si>
    <t>C3ED796B-3969-4ECE-9604-9FB32D1AEFD6</t>
  </si>
  <si>
    <t>Mirage fighters were identified as the only Redland aircraft capable (low-altitude radius) of penetrating Blueland defenses to strike Blueland.</t>
  </si>
  <si>
    <t>Within 3–6 months, Redland will pursue an information‑centric off‑ramp by reframing issues in international forums—narrowing objectives, redefining interim steps, and compartmentalizing disputes—to enable a politically survivable pause while shifting blame to Blueland and the Federation.</t>
  </si>
  <si>
    <t>72EF2417-906D-4CA8-A2EA-2DF271A350D0</t>
  </si>
  <si>
    <t>Redland’s President said in May he felt pressure from the Union to pursue a peaceful solution.</t>
  </si>
  <si>
    <t>Within 3–6 months, Redland will initiate a sustained combined-arms campaign to seize territory in the Border Zone characterized by coordinated air operations (including SEAD/deep strikes), massed armored and mechanized maneuver, and sustained logistics support; observable indicators include large-scale mobilization orders, convoys of armor/infantry moving to forward staging areas, high-intensity air strikes over the border, degradation of enemy front-line positions, and continuous resupply flows.</t>
  </si>
  <si>
    <t>52F8135B-742C-4FE9-92BD-F81BBCCBEDA4</t>
  </si>
  <si>
    <t>An assessment stated Redland President’s current strategy emphasizes moral/political/economic pressure rather than military force.</t>
  </si>
  <si>
    <t>Within 3–6 months, Redland conducts escalatory but sub-war pressure—reconnaissance, demonstrations, border probes, raids, and selective fires—observable via increased border incidents, short-duration clashes, limited temporary gains quickly withdrawn, and heightened patrol activity—aimed at coercing Blueland and shaping conditions for later operations without prolonged occupation.</t>
  </si>
  <si>
    <t>004FE561-8313-4D96-BADB-B0EDE1C43D77</t>
  </si>
  <si>
    <t>Analysts assumed most observed Redland military movements were defensive reactions to fear of 'Blueland reprisal for the Mirage transfer.'</t>
  </si>
  <si>
    <t>If diplomacy stalls within 3–6 months, Redland will deliberately escalate via ultimatums, suspension/withdrawal from agreements, symbolic withdrawals, or controlled provocations to create an acute international crisis intended to compel external powers or institutions to intervene and pressure a settlement.</t>
  </si>
  <si>
    <t>0B8D6021-359A-49B8-B506-32E714459B08</t>
  </si>
  <si>
    <t>Within 3–6 months, Redland will employ energy and commodity leverage (coordinated oil boycotts, supply manipulation, price measures) to raise economic costs for the Federation and Blueland to extract movement on the Border Zone without triggering major combat.</t>
  </si>
  <si>
    <t>819211EA-3646-471B-A986-B7167C0A05EB</t>
  </si>
  <si>
    <t>Over the next 3–6 months, Redland pushes the Federation and intermediaries to broker a settlement package while publicly refusing direct negotiations with Blueland; observables: shuttle diplomacy, mediator proposals, documented mediator engagement, Redland acceptance of mediated terms, and absence of bilateral negotiation records.</t>
  </si>
  <si>
    <t>066499EC-EFB0-4CD5-9CA0-33E0C77D1C10</t>
  </si>
  <si>
    <t>Redlandian diplomatic activity in May appeared oriented toward the upcoming UN Security Council debate rather than immediate military conflict.</t>
  </si>
  <si>
    <t>In the next 3-6 months, Redland will enable and join a coordinated offensive in which Northland initiates major ground operations while Redland provides critical support (air, air defense, ISR, logistics, and/or follow-on ground action) to overstretch Blueland and enable gains in the Border Zone. Observable indicators: synchronized operations or timing with Northland offensives, Redland cross-border logistics or ISR support, public/private statements of coordination, multi-front pressure on Blueland forces.</t>
  </si>
  <si>
    <t>3A3068E3-29A5-4674-B189-8F59279FA3E8</t>
  </si>
  <si>
    <t>Redland received additional combat aircraft transfers from an allied third party country in April 2025.</t>
  </si>
  <si>
    <t>Within the next 3–6 months, Redland runs a calibrated de‑escalatory information strategy paired with cyber defensive hardening to create diplomatic space for an externally brokered settlement framework on the Border Zone. Observable indicators: public de‑escalatory messaging, hardened domestic cyber defenses, engagement in mediated settlement talks.</t>
  </si>
  <si>
    <t>E9FB54E9-A8C3-4A30-863D-3056F36725B4</t>
  </si>
  <si>
    <t>Redland received additional combat aircraft from an allied third party in April 2025.</t>
  </si>
  <si>
    <t>Within 3–6 months, Redland courts Western capital (investment, credit lines, trade facilitation) to offset fiscal strain—observable via high-level outreach to Western financial institutions, preliminary financing agreements, easing of transactional frictions, or publicized negotiations—intended to bolster economic endurance and negotiating position while avoiding near-term military escalation.</t>
  </si>
  <si>
    <t>A9D2A0EE-94F7-4DED-9D8E-340EC39B047F</t>
  </si>
  <si>
    <t>Despite diplomatic maneuvering, Redland’s President rejected any interim agreement that would reopen the Border Zone or involve only partial Blueland withdrawal.</t>
  </si>
  <si>
    <t>In the next 3-6 months, Redland will conduct sustained, deniable cyber operations targeting Blueland’s logistics, command-and-control, mobilization systems, and critical infrastructure to degrade readiness and raise the cost of holding the Border Zone while maintaining plausible deniability. Observable indicators: recurring unexplained outages or disruptions in logistics/C2 systems, forensics suggesting stealthy intrusion tools, degraded mobilization timelines, lack of clear public attribution.</t>
  </si>
  <si>
    <t>E5E1D23E-A269-4BE2-9799-30020BED210E</t>
  </si>
  <si>
    <t>Redland relocated TU-160 bombers to the Capital area in late March 2025, but there was no evidence their air-to-surface missiles were moved.</t>
  </si>
  <si>
    <t>Within 3–6 months, Redland uses deniable cyber and information operations targeting Blueland command-and-control, air-defense readiness, public services, and administrative legitimacy in the Border Zone; observable by disruptive cyber incidents, degraded communications, false attribution patterns, and public-service outages timed to military pressure.</t>
  </si>
  <si>
    <t>65F167C8-EA5D-4FDC-B4FF-A2147C669F51</t>
  </si>
  <si>
    <t>Assessment: Northland unlikely to fight independently but might participate if Redland initiates first.</t>
  </si>
  <si>
    <t>887CFF13-AA7C-4C11-A447-B50B6D8E3407</t>
  </si>
  <si>
    <t>Redland is adopting a policy of “intrinsic power” and actively attempting to move away from socialist dependence and “open the door” to Western capital.</t>
  </si>
  <si>
    <t>In the next 3-6 months, Redland will focus information operations inward (censorship, elite messaging discipline, scapegoating, limited transparency) while externally projecting restrained rhetoric on the Border Zone to preserve flexibility and avoid commitments to war or concessions. Observable indicators: increased censorship or media guidance, coordinated elite messaging and talking points, public calming statements, domestic prosecutions or scapegoating of alleged conspirators.</t>
  </si>
  <si>
    <t>32740BD2-5D9D-439A-B0B6-84BCFFBED5FD</t>
  </si>
  <si>
    <t>In late June 2025, Redland SAM crews engaged Blueland aircraft but failed to achieve hits.</t>
  </si>
  <si>
    <t>2FDB2D98-B531-43AA-9A48-460FC5BDD9CC</t>
  </si>
  <si>
    <t>A third-party leader warned Redland that a frontal attack across the Border Zone would be suicidal.</t>
  </si>
  <si>
    <t>Within 3–6 months, evidence will show Redland implementing war‑economy measures—emergency budgeting, defense‑industrial expansion, accelerated procurement financing, rationing/price controls and FX restrictions—demonstrating a sustained mobilization to preserve coercive capacity and enable future military options.</t>
  </si>
  <si>
    <t>D6E7A407-5C38-40C1-AC82-7C5895D8EA75</t>
  </si>
  <si>
    <t>The Redlandian Foreign Minister signaled willingness to separate statehood of the occupied region from the broader Redland-Blueland conflict; analysts assumed Redland would not bargain for the occupied population in the current phase.</t>
  </si>
  <si>
    <t>Within 3–6 months, Redland will prioritize a defensive military posture in the Border Zone focused on strengthening integrated air defenses, dispersing and fortifying critical air assets, raising readiness, and employing deception while avoiding major offensive ground or air operations; observable indicators include increased SAM and air-defense deployments, force dispersal orders and entrenchment of airfields, routine defensive live-fire drills, visible logistical stockpiling, and no sustained combined-arms offensives.</t>
  </si>
  <si>
    <t>CD743596-6A19-4CDA-A3AD-29BDBD7AB4E1</t>
  </si>
  <si>
    <t>Redland previously attempted to organize an oil boycott in early 2025 to be used if hostilities occurred, but later downplayed the military option in favor of oil leverage strategy.</t>
  </si>
  <si>
    <t>Within 3-6 months, Redland will create a crisis atmosphere via allied coordination to compel a settlement, observable through joint statements and synchronized posture increases with Northland, coordinated military exercises or deployments, unified threat messaging of multi-front consequences, and diplomatic pressure applied in concert by aligned states.</t>
  </si>
  <si>
    <t>54653A72-8077-4071-AD13-B0B1AAC4A7C9</t>
  </si>
  <si>
    <t>A July 2025 intelligence assessment judged Blueland unlikely to replicate its prior 30-to-1 air kill ratio due to improved Redland air defenses.</t>
  </si>
  <si>
    <t>Within 3–6 months, Redland will impose targeted economic measures on Blueland—tightening border trade, denying transit, freezing assets, cancelling contracts, or pressuring firms connected to Blueland—to degrade Blueland’s economic position and compel concessions without kinetic escalation; observable indicators include new trade restrictions, announced asset freezes, blocked transit corridors, public lists of targeted companies, and reductions in bilateral commercial activity.</t>
  </si>
  <si>
    <t>3A9BCC88-2139-4CEC-A838-37CB63E955EC</t>
  </si>
  <si>
    <t>Redland employed extensive deception with 206 dummy SAM sites compared to roughly 124 occupied operational sites.</t>
  </si>
  <si>
    <t>Within 3–6 months, reporting will show Redland offering calibrated economic inducements—phased normalization, reconstruction or compensation packages, commercial concessions, transit/trade openings or revenue‑sharing—to third parties and Blueland interlocutors to attract mediation and create a negotiated pathway aligned with Redland’s red lines.</t>
  </si>
  <si>
    <t>4C8A96CD-B9CA-4725-944D-A00929BAC760</t>
  </si>
  <si>
    <t>Approximately 30 Su-30 and 16 MIG-29 aircraft from an allied third party country were transferred to Redland in April 2025.</t>
  </si>
  <si>
    <t>Within 3–6 months, Redland will signal or coordinate energy supply reductions, embargo threats, or output coordination with sympathetic producers—announcing export cuts, negotiating producer alignments, or manipulating volumes/pricing—to raise economic and political costs for the Federation and Blueland.</t>
  </si>
  <si>
    <t>DE52AF09-E138-435B-822C-651C120150A0</t>
  </si>
  <si>
    <t>Redland’s Foreign Minister signaled readiness to separate occupied-region statehood from the conflict; by implication analysts assume the President will not bargain for the occupied population in the current phase.</t>
  </si>
  <si>
    <t>Within 3–6 months, Redland conducts a false-flag or engineered-incident information operation to attribute blame to Blueland and create diplomatic cover for escalation; observable by rapid circulation of doctored evidence, coordinated media narratives, manipulated forensics, and prepositioned political messaging assigning culpability to Blueland.</t>
  </si>
  <si>
    <t>23D457F6-22F0-48C4-AA5D-694929CA502F</t>
  </si>
  <si>
    <t>Union diplomats conveyed mixed messages about Redland’s likelihood of military action.</t>
  </si>
  <si>
    <t>Within 3–6 months, Redland reduces reliance on the Union and courts new regional and international partners for political backing and arms access; observable by new diplomatic visits, defense cooperation agreements, diversified arms procurement signals, and messaging inviting broader engagement.</t>
  </si>
  <si>
    <t>C6AFFF7C-10DA-49ED-9B9B-6662CCEBDAA9</t>
  </si>
  <si>
    <t>The same assessment judged improved Redland air defenses make it doubtful Blueland can repeat the prior 30-to-1 kill ratio in a new conflict.</t>
  </si>
  <si>
    <t>In the next 3-6 months, Redland will use diplomacy primarily to shape conditions for renewed fighting (warnings/reassurance, deterring external intervention, securing tacit neutrality/support), with talks serving as a prelude or justification framework if negotiations stall. Observable indicators: diplomatic démarches seeking non-intervention guarantees, public warnings paired with discreet military preparations, talks timed immediately prior to or concurrent with military escalations.</t>
  </si>
  <si>
    <t>CEBA6297-42CF-430E-9DCB-024015C9215C</t>
  </si>
  <si>
    <t>Redland’s Foreign Minister perceived irresistible domestic pressure to resume hostilities due to the costs of maintaining a large army.</t>
  </si>
  <si>
    <t>Within 3-6 months, Redland will carry out controlled, limited military provocations near the Border Zone to raise costs, observable through short-duration artillery raids, special operations incursions, localized SAM/air sorties, or brief ground probes that cease without evolving into sustained offensive operations.</t>
  </si>
  <si>
    <t>B1476D55-963A-4C8A-95CB-FCC42BC1CB4A</t>
  </si>
  <si>
    <t>Redland’s President intends to leverage perceived isolation of Federation/Blueland at the fall 2025 UN General Assembly via a psychological counter strategy portraying them as isolated.</t>
  </si>
  <si>
    <t>Within the next 3–6 months, Redland shifts toward pragmatic de‑escalation diplomacy aimed at an interim freeze, monitoring arrangements, or confidence‑building measures around the Border Zone to relieve pressure while postponing maximal aims. Observable indicators: proposals for freezes/monitors, acceptance of verification steps, pauses in kinetic activity.</t>
  </si>
  <si>
    <t>CD675CB7-8274-4AAE-9BB4-84E6A115ACD0</t>
  </si>
  <si>
    <t>Redland’s President believed the Federation and Blueland were collaborating in psychological warfare to force surrender to Blueland mastery.</t>
  </si>
  <si>
    <t>Within 3–6 months, reporting will show intensified backchannel engagement and quiet diplomacy with key third‑party mediators (regional states, influential international actors) and the proposal of mediated frameworks or sequencing plans intended to secure a brokered settlement while avoiding direct Redland–Blueland talks.</t>
  </si>
  <si>
    <t>7F87BCC9-AF21-4D9A-8DC5-3A88BFE229E3</t>
  </si>
  <si>
    <t>Redland acknowledged Union support is the only viable option for establishing a 'credible military posture against Blueland' and grudgingly adjusted to restrictions.</t>
  </si>
  <si>
    <t>Within 3–6 months, Redland will undertake cyber operations—targeting Blueland command‑and‑control, logistics, transportation, power/communications, and key government systems—accompanied by supporting information activity to covertly degrade readiness and public trust without overt kinetic hostilities.</t>
  </si>
  <si>
    <t>1D257D76-71A5-4A98-863D-FBF5B52D10B5</t>
  </si>
  <si>
    <t>Redland’s President categorically rejected Federation recommendations for direct negotiations with Blueland.</t>
  </si>
  <si>
    <t>Within 3–6 months, reporting will indicate Redland pursuing new financing and supplier relationships—investment liberalization, credit/debt deals, commodity pre‑sales, infrastructure concessions or financial reforms—to diversify dependencies, attract Western capital where possible, and strengthen bargaining leverage absent major combat.</t>
  </si>
  <si>
    <t>DE78BA45-8578-4C36-AC6D-837C40C7509F</t>
  </si>
  <si>
    <t>Attempts by Redland to purchase sophisticated arms from the Northern Continent failed.</t>
  </si>
  <si>
    <t>Within 3–6 months, Redland will pair intensified diplomatic outreach with controlled escalation signaling (deadlines, mobilization rhetoric, public crisis messaging) to create pressure for rapid external intervention or concessions while stopping short of committing to immediate large‑scale war.</t>
  </si>
  <si>
    <t>74B0F127-6FBE-46E4-AD02-6C25020B2E52</t>
  </si>
  <si>
    <t>In a 28 September speech, Redland’s President expressed “guarded optimism” about Federation action and said he intentionally avoided rhetoric about “the battle” with Blueland.</t>
  </si>
  <si>
    <t>07D525EC-9865-42B8-B2D4-FC30E1024251</t>
  </si>
  <si>
    <t>Redland moved TU-160 bombers to the Capital area in late March 2025, but there is no evidence associated missiles were moved.</t>
  </si>
  <si>
    <t>Within 3–6 months, Redland will execute a short‑duration, limited air and standoff‑missile campaign against high‑value military and strategic targets (airbases, air defenses, command nodes) in or near the Border Zone to shift bargaining leverage and prompt international intervention while avoiding a major ground invasion.</t>
  </si>
  <si>
    <t>7E50598E-3173-4C4B-A087-2DBEA84CEF9C</t>
  </si>
  <si>
    <t>Intelligence assessed Northland was unlikely to renew fighting independently but might join later if Redland initiated first.</t>
  </si>
  <si>
    <t>Within 3–6 months, intelligence reporting will show Redland avoiding major offensive operations in the Border Zone while undertaking observable force‑preservation measures—air/air‑defense posture adjustments, dispersal of forces, increased readiness drills, deception measures, and localized fortification—consistent with deterrence rather than offensive intent.</t>
  </si>
  <si>
    <t>4C4B8624-BE41-4E03-8D38-043C0AABD26B</t>
  </si>
  <si>
    <t>Reporting on the 19–25 September assault window mentioned only Northland units; other third-party contributions also did not materialize.</t>
  </si>
  <si>
    <t>Within 3–6 months, Redland conducts a short-duration air-and-missile campaign against selected Blueland military targets supporting the Border Zone—observable via increased missile/air launches, strike damage visible in satellite imagery, battle-damage assessments, and absence of a concurrent large-scale ground invasion—intended to impose costs while avoiding occupation.</t>
  </si>
  <si>
    <t>44F6F9A6-D744-4E49-8AE7-A80969E6A035</t>
  </si>
  <si>
    <t>As of May 2025, Redland’s President prioritized acquiring additional aircraft and expanding pilot training to reach an appropriate preparedness level.</t>
  </si>
  <si>
    <t>57C370A8-B05D-46FB-98E6-692CB5D218A3</t>
  </si>
  <si>
    <t>Redland signaled willingness to separate the occupied region’s statehood issue from the broader conflict; by implication it is assumed Redland will not bargain for the occupied population in the current phase.</t>
  </si>
  <si>
    <t>Within 3–6 months, Redland will launch a deliberate combined‑arms ground offensive, supported by concentrated air operations and an expanded air‑defense umbrella, with the objective of seizing and holding terrain in the Border Zone.</t>
  </si>
  <si>
    <t>B4C829BE-AB7B-4FBD-AE87-BAF8925A74DC</t>
  </si>
  <si>
    <t>A third-party leader warned Redland’s Foreign Minister that a frontal cross-border attack would be suicidal for Redland.</t>
  </si>
  <si>
    <t>Within 3–6 months, Redland avoids being the principal initiator of hostilities and enables a Northland-led offensive through ISR sharing, air/SAM coverage, logistics, and limited force contributions—observable via cross-border support flows, coordinated targeting data, joint operational signs, and public denials of direct responsibility—intended to pressure Blueland while retaining plausible distance.</t>
  </si>
  <si>
    <t>246C42DB-3A4E-4832-806F-9BAAEB80F28A</t>
  </si>
  <si>
    <t>The same Federation Council memo assessed the probability of Redland renewing hostilities was low because the President understood consequences and preferred bolstering his political position rather than using force.</t>
  </si>
  <si>
    <t>Within 3–6 months, Redland will refrain from initiating hostilities and prioritize deterrence—expanding integrated air defenses, increasing air force readiness and dispersal, hardening bases/C2, and conducting large defensive exercises—to raise the costs of Blueland escalation.</t>
  </si>
  <si>
    <t>2D29EECC-370E-40DB-BA1F-1B6767E1DAEF</t>
  </si>
  <si>
    <t>A third party leader warned that a frontal attack across the border zone would be suicidal for Redland.</t>
  </si>
  <si>
    <t>F9E05D8C-E305-4CBA-A489-DFB90A0252AD</t>
  </si>
  <si>
    <t>SA-6 units deployed near the Border Zone in March were vacated by May 2025.</t>
  </si>
  <si>
    <t>Within 3-6 months, Redland will prioritize UN- and third-party diplomacy to isolate Blueland/the Federation, observable through proposed UN agenda items or resolutions, intensified ambassadorial outreach, public coalition-building visits, and consistent multilateral messaging framing Blueland as responsible or isolated.</t>
  </si>
  <si>
    <t>BB12A5EB-43DD-4100-8C9A-48DF1DC5A645</t>
  </si>
  <si>
    <t>Redland’s Foreign Minister perceived strong domestic pressure to resume hostilities due to the cost of maintaining a large army.</t>
  </si>
  <si>
    <t>380FF467-0D74-4DCB-BF97-2B660947B57D</t>
  </si>
  <si>
    <t>Redland is adopting a policy of intrinsic power and attempting to open to Western capital to confront Federation/Blueland without relying on the Union.</t>
  </si>
  <si>
    <t>Within 3–6 months, Redland will adopt an escalatory diplomatic posture intended to precipitate international intervention—issuing ultimatums, publicly setting deadlines, and intensifying threat signaling—while preserving deniability and space for last-minute off-ramps; observable indicators include formal ultimatums with deadlines, accelerated public threats, amplified appeals to external powers to intervene, and parallel backchannel signals offering diplomatic exits.</t>
  </si>
  <si>
    <t>DABA9C7F-66A1-4A9F-982F-57AD0A5DEB55</t>
  </si>
  <si>
    <t>Redland is attempting to reduce reliance on the Union and seek Western capital.</t>
  </si>
  <si>
    <t>Within 3–6 months, Redland pairs backchannel diplomacy with calibrated public ambiguity—conditional demands, mixed signals about willingness to fight, and shifting red lines—to extract concessions while avoiding commitment to either a full interim agreement or renewed fighting—observable via leaked backchannel contacts, inconsistent official statements, and limited conciliatory gestures.</t>
  </si>
  <si>
    <t>9354A92C-BD82-4BF6-9E37-00B770BC1A4C</t>
  </si>
  <si>
    <t>Within 3–6 months, Redland will conduct coordinated influence operations (diplomatic messaging, media narratives, selective intelligence disclosures) portraying imminent uncontrollable escalation to pressure external actors into imposing a settlement on Blueland and the Federation.</t>
  </si>
  <si>
    <t>A682E870-53D1-4E7F-AAB9-EB149330C2DD</t>
  </si>
  <si>
    <t>Redland’s President’s primary international goal remains regaining territory under Blueland occupation and he views the stalemate as intolerable.</t>
  </si>
  <si>
    <t>Within 3–6 months, Redland will generate a coercive war scare by visibly increasing deployments, holding large-scale exercises, rapidly repositioning SAMs and aircraft, and conducting demonstration strikes or signaling flights while stopping short of sustained attacks on Blueland forces; observable indicators include high-profile mobilization announcements, large joint exercises near the border, frequent overflights or demo strikes that do not result in territorial changes, and heightened public readiness messaging.</t>
  </si>
  <si>
    <t>98E6E566-AA0D-4CF7-89B9-C5EEC3DE57A2</t>
  </si>
  <si>
    <t>Between June and August 2025, Redland-Union friction increased as the Union limited support and denied weapons that might encourage renewed hostilities.</t>
  </si>
  <si>
    <t>Within 3–6 months, Redland intensifies UN- and third-party–led diplomatic efforts on the Border Zone while refusing direct Redland–Blueland negotiations—observable via increased mediation activity, submitted proposals to international bodies, engagement with envoys, and public refusals of bilateral talks—seeking a brokered framework that advances Redland’s objectives.</t>
  </si>
  <si>
    <t>7E818182-471D-420D-B04B-FDFF88900342</t>
  </si>
  <si>
    <t>Redland moved TU-160 bombers to the Capital area in late March 2025, but there is no evidence associated air-to-surface missiles were moved.</t>
  </si>
  <si>
    <t>Over the next 3–6 months, Redland conducts denial‑and‑deception operations (decoys, false indicators, controlled leaks) to conceal intent and timing, preserving the option of a short‑notice offensive or coordinated action with partners; observables: mismatches between declared exercises and actual movements, false logistical footprints, and sudden rapid re‑posturing.</t>
  </si>
  <si>
    <t>B5CF19ED-F518-4FAA-B1D0-250DE254D668</t>
  </si>
  <si>
    <t>Late June 2025: Redland SAM crews engaged Blueland aircraft but achieved no hits.</t>
  </si>
  <si>
    <t>Within 3–6 months, Redland offers economic concessions (transit guarantees, commercial access, compensation, phased normalization) to the Federation or key third parties in return for diplomatic pressure on Blueland—observable via formal proposals, conditional economic packages, and subsequent shifts in third-party diplomatic posture—trading near-term relief for reduced immediate prospects of territorial recovery by force.</t>
  </si>
  <si>
    <t>2060CCD3-E843-486B-9A62-9F87D03E7260</t>
  </si>
  <si>
    <t>Assessment: Redland’s current strategy focuses on moral, political, and economic pressure rather than military force; it is adopting an 'intrinsic power' policy and opening to Western capital.</t>
  </si>
  <si>
    <t>Within the next 3–6 months, Redland refrains from initiating hostilities and focuses on strengthening a layered defensive posture—air‑defense repositioning, readiness surges, dispersal and deception measures, and large exercises—to deter Blueland while preserving forces for future options. Observable indicators: redeployment of air‑defense assets, major drills, force dispersal, heightened readiness orders.</t>
  </si>
  <si>
    <t>9FF71F01-C9AE-4B0E-9B00-F5A4A9BF8134</t>
  </si>
  <si>
    <t>As of May 2025, Redland’s President prioritized acquiring aircraft and expanding pilot training to reach an appropriate preparedness level.</t>
  </si>
  <si>
    <t>EE05B047-D3D2-438E-84BD-3EE5828F7926</t>
  </si>
  <si>
    <t>The regiment of SA-6 equipment located 100 miles south of the capital was largely deployed elsewhere by May 2025.</t>
  </si>
  <si>
    <t>Within 3–6 months, Redland escalates crisis messaging—warnings, elevated alert postures, public deadlines—to provoke major-power or UN intervention—observable via diplomatic notes, mobilization announcements, declared alerts, and international emergency consultations—using the prospect of war as leverage rather than accepting immediate compromise.</t>
  </si>
  <si>
    <t>FA63D58C-7EC4-437D-B18E-54A79CAF5E25</t>
  </si>
  <si>
    <t>Analysts assumed most observed Redland military movements were defensive reactions to fear of Blueland reprisal for the Mirage transfer.</t>
  </si>
  <si>
    <t>Within 3–6 months, Redland pursues economic realignment by expanding outreach to Western investment, trade, and finance (limited market-opening and commercial diplomacy) to improve fiscal resilience and bargaining leverage; observable by investor roadshows, new commercial agreements, legal or regulatory signaling, and moderated rhetoric toward the West.</t>
  </si>
  <si>
    <t>A2835989-FC13-4D62-9784-50A5ABE723CF</t>
  </si>
  <si>
    <t>Redland’s President views the stalemate as intolerable and retains the primary goal of regaining territory occupied by Blueland.</t>
  </si>
  <si>
    <t>Within 3–6 months, reporting will record discrete, tightly controlled Redland military actions (short raids, targeted artillery/rocket strikes, limited incursions or brief tactical air strikes) focused on specific Border Zone objectives, conducted with rapid withdrawal and explicit operational limits to avoid escalation to general war.</t>
  </si>
  <si>
    <t>776D1B36-6F8C-495B-A125-B02A57A18A10</t>
  </si>
  <si>
    <t>Assessment: Blueland likely cannot replicate prior 30-to-1 kill ratio due to improved Redland air defenses.</t>
  </si>
  <si>
    <t>Within 3–6 months, Redland will judge diplomacy insufficient and either initiate renewed hostilities or sponsor Northland‑led attacks, while conducting parallel diplomacy to manage escalation, shape narratives, and seek favorable imposed terms.</t>
  </si>
  <si>
    <t>2D5288E8-95C6-4A26-970B-FA1297C3F982</t>
  </si>
  <si>
    <t>E3B3BA9E-2B7D-4DD9-BB3F-B2465B63BA39</t>
  </si>
  <si>
    <t>Redland previously tried to organize an oil boycott in early 2025 to be enacted if hostilities occurred.</t>
  </si>
  <si>
    <t>Within 3–6 months, Redland will mount an information-centric coercion campaign—public threats, controlled leaks, amplified messaging of imminent action—paired with cyber-enabled signaling (selective exposure of readiness indicators and deliberate ambiguity) to pressure Blueland and the Federation while avoiding major combat; observable indicators include synchronized media narratives, selective release of purported readiness assessments, targeted cyber disclosures of military status, and increased information operations activity.</t>
  </si>
  <si>
    <t>3E321503-2F8E-4FB6-82CC-8CAD474DADE2</t>
  </si>
  <si>
    <t>An intelligence memorandum stated the Union is not concerned with recovering lost Redland lands and refuses to risk confrontation with the Federation, diverging from Redland’s interests.</t>
  </si>
  <si>
    <t>A0DCE0EA-7153-44E6-84E7-E000F36A133B</t>
  </si>
  <si>
    <t>Recent reporting for the specific Northland assault window (19–25 September) mentioned only Northland units, and an assessment noted expected “elaborate contributions” from other states did not materialize.</t>
  </si>
  <si>
    <t>In the next 3-6 months, Redland will offer economic inducements tied to a diplomatic process (reconstruction financing, trade normalization, transit/pipeline revenue-sharing, compensation, phased market access) to incentivize acceptance of a negotiated outcome aligned with Redland’s territorial objectives. Observable indicators: public or leaked package offers, conditional financial pledges, draft agreements linking economic benefits to concessions, initiation of joint economic working groups.</t>
  </si>
  <si>
    <t>676F549E-2E33-4C13-8DB2-18D9D521A30D</t>
  </si>
  <si>
    <t>Federation Council assessed Redland’s internal preparations were not practical steps toward war and that probability of renewed hostilities was low.</t>
  </si>
  <si>
    <t>Within 3–6 months, Redland will prioritize improving access to Western capital and markets (investment outreach, trade facilitation, financial policy adjustments) to reduce dependence on the Union, stabilize its economy, and strengthen bargaining leverage over the Border Zone.</t>
  </si>
  <si>
    <t>33A371FB-C8B1-4235-8F93-0669484C6E84</t>
  </si>
  <si>
    <t>Diplomatic reporting showed mixed messaging: some diplomats warned Redland’s president is serious about military action while others said he is unlikely to resume hostilities.</t>
  </si>
  <si>
    <t>846480C0-D541-4E8B-B532-99A345173465</t>
  </si>
  <si>
    <t>Redland maintained extensive dummy SAM sites to confuse surveillance.</t>
  </si>
  <si>
    <t>F474F8F4-75CE-4D70-BFC1-7F9F7A018C9B</t>
  </si>
  <si>
    <t>Within 3–6 months, intelligence will record Redland imposing targeted punitive economic measures—trade restrictions, asset freezes, contract cancellations, market‑access denials and payment barriers—aimed at firms and sectors supporting Blueland’s war effort to degrade its sustainment capacity while avoiding direct military engagement.</t>
  </si>
  <si>
    <t>6B8928AB-C217-43D2-B43E-FF636E3C7EF9</t>
  </si>
  <si>
    <t>Redland relocated TU-160 bombers capable of carrying air-to-surface missiles to the Capital area in late March 2025, but there is no evidence missiles moved.</t>
  </si>
  <si>
    <t>Within 3-6 months, Redland will enable a Northland-led operation rather than lead an assault itself, observable through transfer or integration of air assets and air defenses, shared ISR and logistics support, presence of advisors and limited enabling ground elements, and coordinated operational timelines that expand Blueland’s defensive dilemma.</t>
  </si>
  <si>
    <t>A65D2813-3909-479E-9C79-9B6FC28A23D7</t>
  </si>
  <si>
    <t>Redland’s defense spending sharply increased since the 2019 war, indicating mounting economic burden tied to the conflict.</t>
  </si>
  <si>
    <t>Within 3–6 months, Redland escalates targeted economic warfare—trade and transport restrictions, disruption of border-adjacent commerce, selective embargoes, and inducements to third parties—observable via transport chokepoint closures, disruptions to logistics and supply chains, trade statistics showing declines, and third-party commercial pressure—aimed at degrading Blueland’s ability to hold the Border Zone without large-scale kinetic offensives.</t>
  </si>
  <si>
    <t>35C69D92-A0F5-487B-9A58-3CA3CE58D572</t>
  </si>
  <si>
    <t>Redland adopted a policy of intrinsic power and sought to open the door to Western capital while moving away from socialist dependence.</t>
  </si>
  <si>
    <t>Within 3–6 months, reporting will show Redland reducing cooperative ties with the Union and expanding political, economic and security engagement with non‑Union partners to secure alternative backing and resources for its Border Zone posture, accepting increased diplomatic friction with the Union.</t>
  </si>
  <si>
    <t>939EDD3A-FE76-4B6A-BCA3-BB00714768AD</t>
  </si>
  <si>
    <t>Redland occupied four new SA-6 SAM sites within 17 nautical miles of the Border Zone in spring 2025.</t>
  </si>
  <si>
    <t>Within 3–6 months, Redland will pursue sustained below‑threshold pressure—covert action and SOF operations, probing attacks, limited cross‑border fires/raids, electronic warfare, and intermittent air‑defense escalations—to raise costs and instability around the Border Zone while avoiding conventional‑war triggers.</t>
  </si>
  <si>
    <t>F9E556E1-77A6-47F3-A99D-9A28224DF013</t>
  </si>
  <si>
    <t>A Redland Presidential Advisor described three strategic options (freeze, final agreement with concessions, or military action) and privately judged military action 'too adventurous.'</t>
  </si>
  <si>
    <t>D4650413-D974-4CAE-AF23-3BC7C9D3277E</t>
  </si>
  <si>
    <t>Redland used extensive SAM deception via dummy sites compared to occupied operational sites.</t>
  </si>
  <si>
    <t>Within 3-6 months, Redland will run coordinated information and readiness signaling to credibly threaten limited military action, observable via synchronized threatening statements, selective leaks about planned operations, staged readiness indicators, temporary force movements, and elevated military-media visibility without open hostilities.</t>
  </si>
  <si>
    <t>6E78346B-FEB2-47E6-894E-80BED03D952E</t>
  </si>
  <si>
    <t>In March 2025, Redland redeployed a full regiment of SA-6 equipment and occupied four new SA-6 sites near the Border Zone.</t>
  </si>
  <si>
    <t>Within 3–6 months, Redland prioritizes fortification and readiness measures to deter Blueland—observable by emplacement of fortifications, expanded air-defense deployments, dispersal of key assets, heightened alert levels, large-scale exercises near the border, and increased mobilization messaging without offensive maneuvering.</t>
  </si>
  <si>
    <t>5406679D-DB4F-4000-B05A-4DE9D0B11232</t>
  </si>
  <si>
    <t>Within 3–6 months, Redland will reduce reliance on the Union and expand partnerships with non‑Union states to gain political backing, economic relief, and arms‑related cooperation, strengthening its negotiating position regarding the Border Zone.</t>
  </si>
  <si>
    <t>B9A0C6BC-FE8C-4628-906E-567F989B5A3F</t>
  </si>
  <si>
    <t>Analysts assumed most observed Redlandian movements were defensive reactions to fear of “Blueland reprisal for the Mirage transfer.”</t>
  </si>
  <si>
    <t>In the next 3-6 months, Redland will run a multilateral diplomatic offensive centered on the UN to isolate Blueland/the Federation and mobilize third-party pressure (potentially including energy leverage), while stopping short of direct Redland–Blueland negotiations. Observable indicators: Redland-sponsored UN resolutions or initiatives, coalition-building at multilateral fora, public campaigning within UN bodies, third-party statements aligning with Redland framing.</t>
  </si>
  <si>
    <t>Hypothesis implies a defensive, internally focused posture for the regime</t>
  </si>
  <si>
    <t>Hypothesis points to an internally focused and defensive posture and specifically avoids external conflict.</t>
  </si>
  <si>
    <t>It depends on Redland president's intent to respond to that pressure, but assuming Redland doesn't act defiantly towards Union, this would be inconsistent.</t>
  </si>
  <si>
    <t>Adding additional military aircraft that could complicate Blueland's defense aligns with Redland's strategic communications strategy.</t>
  </si>
  <si>
    <t>There isn't a clear connection between economic measures and Northland/Redland military planning sessions and increased military readiness.</t>
  </si>
  <si>
    <t>Military preparations that are assessed not to be preparations for war (and therefore assumed to be defensive) would align with this hypothesis. It is plausible Redland would be increasing readiness in case Blueland lashed out militarily against Redland if Northland initiated hostilities.</t>
  </si>
  <si>
    <t>Depending on what assets are at the Capital airfield, repositioning SAM equipment could be a key indicator of preparations for an offensive operation.</t>
  </si>
  <si>
    <t>The deployment and capability of Mirage fighters could be interpreted differently depending on what narratives are pushed in Redland's internal information control campaign.</t>
  </si>
  <si>
    <t>Assuming evidence is a correct representation of Redland president's intent, this would directly contradict this hypothesis.</t>
  </si>
  <si>
    <t>This could be interpreted both ways potentially. However, it is generally irrelevant to the hypothesis, which is diplomacy-centric.</t>
  </si>
  <si>
    <t>Assuming Redland responds to Union pressure by deescalating, this would be inconsistent with the hypothesis. However, Redland/Union relationship was already cooling during this time period, it could have an opposite effect. Therefore, it could go both ways.</t>
  </si>
  <si>
    <t>Military activity is explicitly not an option in this hypothesis.</t>
  </si>
  <si>
    <t>The hypothesis assumes Redland takes on a more offensive nature in the event diplomacy fails. If the evidence is correct, this would be somewhat consistent because Redland could be posturing defensively in case they provoke military responses from Blueland.</t>
  </si>
  <si>
    <t>No apparent connection</t>
  </si>
  <si>
    <t>Backchanneling like this could involve complex maneuvering in the background to facilitate Redland's attempt to broker a settlement package, which could make this consistent. However, it could also be inconsistent because telling someone you want to initiate hostilities while also intending to broker a non-violent settlement doesn't add up.</t>
  </si>
  <si>
    <t>The evidence would indicate Redland is focused on a diplomatic solution. However, knowing Redland's intent if the UN summit is a failure would inform this assessment.</t>
  </si>
  <si>
    <t>Plussing up military equipment and capabilities runs contrary to promoting a de-escalatory strategy.</t>
  </si>
  <si>
    <t>gray zone activity is consistent with Redland's refusal to accept any interim agreement or partial withdrawal.</t>
  </si>
  <si>
    <t>Relocation of bomber assets not connected to cyber and information operations.</t>
  </si>
  <si>
    <t>The evidence is sort of hypothetical and not connected to the hypothesis.</t>
  </si>
  <si>
    <t>Pivoting to the West (who favors a non-violent solution between Redland and Blueland) would align with these actions.</t>
  </si>
  <si>
    <t>A seemingly inferior military capability would be consistent with a pivot to other COAs. However, the evidence is weak and shouldn't be an indicator of Egypt's overall military capabilities.</t>
  </si>
  <si>
    <t>A third party official's blunt assessment would likely have a negative influence on any plans of implementing a war-economy footing.</t>
  </si>
  <si>
    <t>Not connected</t>
  </si>
  <si>
    <t>The hypothesis is focused on increasing pressure via military and diplomatic activity, not economic</t>
  </si>
  <si>
    <t>Although not explicitly connected, targeting energy supplies could be very escalatory, in which case preempting any military response with additional air assets would be consistent with this hypothesis.</t>
  </si>
  <si>
    <t>Hypothesis is mostly discussing a pivot away from Union patronage, which appears unrelated to the Union's mixed messaging on Redland's intent</t>
  </si>
  <si>
    <t>Hypothesis signals Redland willing to renew fighting. Assuming Redland has the same assessment of a favorable kill ratio, this would be consistent.</t>
  </si>
  <si>
    <t>Controlled military provocations would be very consistent with a strategy of appeasing domestic pressure without risking all out war.</t>
  </si>
  <si>
    <t xml:space="preserve">An intent for an antagonistic information strategy like this is not consistent deescalation strategy </t>
  </si>
  <si>
    <t>Redland pursuing a diplomatic solution with the same entities you believe are engaged in a psychological campaign against you is not consistent.</t>
  </si>
  <si>
    <t>Pursuing an underhanded gray zone strategy is consistent with acknowledging Redland's lack of military capabilities withotu Union patronage.</t>
  </si>
  <si>
    <t>Not really connected here.</t>
  </si>
  <si>
    <t>This might be consistent if Redland is using escalation signaling to induce consessions on arms deals.</t>
  </si>
  <si>
    <t>Signaling like this is consistent with this hypothesis.</t>
  </si>
  <si>
    <t>Very consistent. Relocating bombers, especially with SAM equpiment is also being moved to the same location would be consistent with this COA. The lack of evidence of associated missile movement doesn't prove it didn't happen either.</t>
  </si>
  <si>
    <t>Assuming a deterrence posture holds, this is inconsistent.</t>
  </si>
  <si>
    <t>Evidence points to only a northland offensive.</t>
  </si>
  <si>
    <t>Consistent</t>
  </si>
  <si>
    <t>Evidence suggests a continued readiness with diplomacy, completely contradicting hypothesis.</t>
  </si>
  <si>
    <t>An offensive stance without crossing the threshold of a full on cross border offensive is consistent.</t>
  </si>
  <si>
    <t>Weak, but inconsistent. A third party officials assessment could have very little influence over Redland's calculus.</t>
  </si>
  <si>
    <t>This could be interpreted many different ways</t>
  </si>
  <si>
    <t>This is very consistent and be a primary way to increasing preparedness and appeasing domestic pressure.</t>
  </si>
  <si>
    <t>This would be consistent with an information campaign portraying imminent escalation.</t>
  </si>
  <si>
    <t>An increased diplomatic effort would be consistent with a lack of Union support to military efforts and buildup.</t>
  </si>
  <si>
    <t>Movement of bomber assets would be indicative of possible military planning or intent, but it is a fairly weak association.</t>
  </si>
  <si>
    <t xml:space="preserve">This could be interpreted as either consistent or inconsistent </t>
  </si>
  <si>
    <t>Although it could be considered a blow to Redland's ambitions, the evidence doesn't alone indicate any change in calculus for Redland.</t>
  </si>
  <si>
    <t>If Redland intended deliberate escalation, its force posture would likely appear overtly coercive or ambiguous to raise tensions. The evidence characterizes the movements as precautionary/defensive against potential Blueland retaliation following the Mirage transfer, which contradicts the expectation of a coercive escalation posture and therefore undermines the hypothesis.</t>
  </si>
  <si>
    <t>The source is an expert analytic assessment (interpretation of intent), not direct documentary proof of Redland's plans; analysts can be wrong or misled by deception. That lowers certainty, but the explicit defensive characterization provides moderate reason to judge the hypothesis inconsistent.</t>
  </si>
  <si>
    <t>If Redland were preparing a near-term coordinated two-front offensive with Northland, its immediate diplomacy would likely emphasize operational coordination, securing logistics/partners, secrecy, or narratives to justify imminent hostilities. The evidence indicates diplomats were prioritizing a UN Security Council debate—a political/diplomatic objective inconsistent with immediate offensive preparations—thus contradicting the hypothesis.</t>
  </si>
  <si>
    <t>The source is an expert analytic judgment rather than direct, observable indicators of military activity; that yields moderate confidence. The conclusion could be wrong if diplomacy is a deliberate deception or if military preparations are occurring covertly alongside public diplomatic activity.</t>
  </si>
  <si>
    <t>Relocating TU-160 bombers toward the capital is the kind of preparatory, reversible basing change expected if planners are building a limited air/standoff strike option. The lack of observed missile movement raises uncertainty but is not inherently contradictory because long-range strike options can be staged in multiple ways (airborne delivery, later missile movements, covert reloads). Therefore the observed evidence is generally compatible with the hypothesis.</t>
  </si>
  <si>
    <t>The evidence directly supports one key enabling action (bomber basing) but is incomplete regarding missile logistics and intent. That yields modest confidence—better than random but not high—because alternative explanations (training, deterrence, deception) remain plausible.</t>
  </si>
  <si>
    <t>A strategy focused primarily on energy and commodity coercion with an intent to avoid major combat would likely prioritize diplomatic, economic, and non-kinetic tools over acquiring/fielding niche offensive strike platforms. The presence and emphasis on Mirage fighters—Redland’s only asset well-suited for low-altitude strikes into Blueland—indicates preparation for kinetic options or at least a credible threat of limited military action, which contradicts the hypothesis that Redland intends to avoid major combat in favor of purely energy-based pressure.</t>
  </si>
  <si>
    <t>Judgment is based on a single clear operational data point (aircraft type and its mission fit). That gives moderate confidence because the military implication is direct, but alternative explanations (deterrence signaling, hedging, industrial/political motives) mean the evidence does not conclusively prove intent, leaving meaningful uncertainty.</t>
  </si>
  <si>
    <t>If Redland were actively preparing to covertly enable a Northland-led attack while maintaining a defensive public posture, external analysts would likely detect at least some indicators (logistics movements, advisory deployments, clandestine support) and revise risk estimates upward. The Federation Council’s explicit judgment that preparations are ‘‘political theater’’ and the assessed low probability of renewed hostilities therefore runs counter to the hypothesis that Redland is quietly gearing up to assist Northland’s offensive.</t>
  </si>
  <si>
    <t>The assessment is directly relevant to the hypothesis but is itself an expert judgment rather than hard intelligence; that reduces certainty. Because the evidence is specific to the hypothesis (an explicit probability judgment), it nevertheless provides moderate weight against the hypothesis, producing an intermediate confidence level.</t>
  </si>
  <si>
    <t>A policy shift toward Western financing and away from the Federation would plausibly include seeking greater diplomatic autonomy. The President’s explicit refusal of a Federation-mediated negotiation track is a likely manifestation of such autonomy, so the evidence aligns with the hypothesis without contradicting it.</t>
  </si>
  <si>
    <t>The connection is indirect: the evidence documents a diplomatic stance (rejection of Federation mediation), while the hypothesis centers on financing and economic alignment. That makes the match plausible but not strongly specific or causal, yielding moderate confidence.</t>
  </si>
  <si>
    <t>The evidence—an expert assessment that the president emphasizes moral, political, and economic pressure over military force—aligns with the hypothesis's core claim that Redland will refrain from offensive military action and focus on non-military levers. While the evidence does not explicitly state that Redland is increasing defensive capabilities (air defenses, readiness), prioritizing non-offensive measures is compatible with a strategy that simultaneously shores up defenses without initiating attacks. Therefore the evidence is consistent with the hypothesis but not fully confirmatory.</t>
  </si>
  <si>
    <t>Moderate confidence because the source is a qualitative expert assessment expressing leadership intent rather than verifiable data on defensive force posture or air-defense activity. A single, indirect statement supports the hypothesis's non-offensive element but lacks concrete corroboration of force posture changes, limiting overall confidence.</t>
  </si>
  <si>
    <t>The evidence is an attribution from Union diplomats about Redland's intentions; it does not provide direct indicators that Redland is seeking alternative partners or otherwise rebalancing its alliances. Without observable actions or statements from Redland showing outreach, procurement, treaty activity, or explicit policy shifts away from the Union, the evidence is tangential and neither supports nor refutes the hypothesis.</t>
  </si>
  <si>
    <t>The source content is specific and verifiable (statements by Union diplomats), so its nature is clear. However, its relevance to the hypothesis is indirect, producing moderate confidence in a neutral assessment rather than high confidence.</t>
  </si>
  <si>
    <t>If Redland is truly opting for a defensive‑deterrent posture that avoids initiating hostilities, outside intelligence assessments would be expected to judge the likelihood of renewed aggression as low. The Federation Council memo explicitly states that the President prefers political gain over force, which aligns with and supports the hypothesis. Because the memo is an analytic judgment rather than direct behavioral evidence, it supports the hypothesis but does not prove it, so the match is solid but not conclusive.</t>
  </si>
  <si>
    <t>The evidence is a single expert analytic assessment directly addressing Redland leadership intent, giving it moderate probative value. However, as it is second‑hand (an intelligence memo, not observed actions) and not corroborated by independent behavioral indicators, there remains meaningful uncertainty, so confidence is slightly above medium rather than high.</t>
  </si>
  <si>
    <t>If Redland were contemplating a major combined-arms frontal offensive, it is plausible that outside leaders would publicly warn against such an action using strong language (e.g., calling it "suicidal"). The statement does not contradict the hypothesis and fits a scenario where an attack is being considered, but it does not provide direct corroborating detail (logistics, forces, orders) that would make it strong evidence. Therefore the evidence is compatible with, but not strongly confirmatory of, the hypothesis.</t>
  </si>
  <si>
    <t>The evidence is a single attributed public remark with relatively high general relevance but low technical specificity. Because it could equally reflect deterrence rhetoric, political signaling, or true awareness of plans, confidence in linking this remark to actual intent is moderate-to-low.</t>
  </si>
  <si>
    <t>If Redland intends to launch a major combined-arms offensive, it would seek to reduce Blueland’s historical air dominance. An assessment that upgraded Redland air defenses would likely prevent a repeat of Blueland’s 30-to-1 kill ratio aligns with that prerequisite. The evidence supports a condition that would enable offensive operations but does not directly demonstrate offensive intent or preparations, so it is consistent but not strongly confirmatory.</t>
  </si>
  <si>
    <t>The judgment relies on a single expert assessment about air-defense effectiveness. While moderately specific and relevant to enabling an offensive, it lacks corroborating indicators of offensive intent (e.g., mobilization, logistics, command directives). Therefore confidence in the consistency judgment is moderate.</t>
  </si>
  <si>
    <t>The cited evidence is an attribution about battlefield risk, not an observation of internal fiscal or economic controls. War‑economy mobilization would be demonstrated by domestic policy actions (emergency budgets, rationing directives, procurement shifts). Because the evidence speaks to operational deterrence rather than to economic mobilization, it neither supports nor contradicts the hypothesis.</t>
  </si>
  <si>
    <t>The linkage between the leader's warning and the hypothesis is weak and circumstantial. There is insufficient, direct information about budgeting, procurement, or legal measures to raise confidence; therefore the neutrality judgment is made with low–moderate confidence.</t>
  </si>
  <si>
    <t>If Redland intends to wield energy and commodity measures as its primary tool of pressure, we would not specifically anticipate or need to observe a one-off SAM engagement with Blueland aircraft; that military incident neither supports nor contradicts an economic-coercion strategy. The evidence concerns tactical air-defense effectiveness, not trade cuts, rerouted exports, or embargo rhetoric that the hypothesis predicts.</t>
  </si>
  <si>
    <t>The evidence is narrowly focused on a single military incident with no discernible linkage to commodity policy. Because the domains (air-defense activity vs. energy leverage) are distinct, the assessment that the evidence is neutral carries moderate confidence but not high certainty.</t>
  </si>
  <si>
    <t>If Domestic-Legitimacy Messaging were true, we would expect Redland to project toughness and readiness publicly while privately signaling restraint, thereby preserving regime credibility without actually committing to war. The cited mixed diplomatic messaging—warning some partners of imminent action while reassuring others that hostilities are unlikely—fits this pattern of ambiguity and threat inflation intended to manage perceptions, and it does not contradict a strategy centered on internal legitimacy without near-term combat.</t>
  </si>
  <si>
    <t>The evidence is concrete and clearly describes contradictory diplomatic statements, which align plausibly with the hypothesized ambiguity strategy, yet the link is indirect because the hypothesis focuses on domestic narratives while the evidence concerns foreign diplomacy; thus confidence is moderate.</t>
  </si>
  <si>
    <t>The evidence directly declares Redland’s intention to confront adversaries without relying on the Union and to seek Western capital, which is exactly the predicted behavior under the hypothesis of rebalancing alliances away from the Union. There is a close, unambiguous match between the hypothesis and the quoted policy language, with no contradictory elements present in the provided snippet.</t>
  </si>
  <si>
    <t>High confidence because the quoted language explicitly references reduced reliance on the Union and courting non-Union partners, giving specific and relevant support. Some residual uncertainty remains because a single stated intent may not translate into long-term policy change or executed behavior; corroborating actions or multiple sources would raise confidence further.</t>
  </si>
  <si>
    <t>A move toward an 'intrinsic power' posture that decreases reliance on the Union and opens space for Western investment fits with behavior intended to broaden potential external leverage. While the evidence does not directly record the gameplay elements of escalatory coercive diplomacy (ultimatums, explicit threats, deadlines), it plausibly supports the preparatory conditions needed for that approach rather than contradicting it.</t>
  </si>
  <si>
    <t>The underlying fact about realignment is specific and clear, so linkage to the hypothesis is plausible. However, because the evidence is indirect (it shows enabling steps rather than the coercive-diplomacy actions themselves), the confidence is moderate rather than high.</t>
  </si>
  <si>
    <t>A substantial transfer of 46 frontline combat aircraft is a concrete capability increase that raises the perceived military temperature. That behavior is more characteristic of escalation or coercive leverage than of a calibrated de‑escalatory information strategy intended to open space for talks. Therefore the evidence runs counter to the hypothesis.</t>
  </si>
  <si>
    <t>The underlying factual claim about the aircraft transfer is clear and verifiable, giving strong support to the inconsistency judgment. However, states sometimes combine capability enhancements with diplomatic de‑escalation or use force improvements as bargaining leverage while signaling openness to talks, so there is residual ambiguity—hence moderate confidence rather than very high.</t>
  </si>
  <si>
    <t>The reported placement of 206 dummy air‑defense decoys is a military deception measure. It does not provide evidence for economic inducements (trade, reconstruction funds, revenue‑sharing) nor does it contradict the possibility that such inducements could be offered separately. Because the domains (military deception vs. economic/diplomatic offers) do not overlap in a way that supports or falsifies the hypothesis, the appropriate assessment is Neutral.</t>
  </si>
  <si>
    <t>The factual evidence is specific and verifiable, giving moderate confidence in its interpretation as a military deception. However, absence of evidence for economic inducements in this single item does not strongly rule out concurrent political/economic efforts, hence only moderate confidence in the Neutral rating.</t>
  </si>
  <si>
    <t>The evidence that the Union is unwilling to risk direct confrontation is logically compatible with Redland choosing an information-centric coercion strategy instead of provoking a military clash. The memorandum provides an enabling condition for such a strategy but does not itself document information operations, so the evidence supports rather than confirms the hypothesis.</t>
  </si>
  <si>
    <t>Confidence is moderate because the source establishes a plausible motive for non-kinetic coercion (lack of Union backing) but does not provide direct evidence that Redland is employing or planning information-centric coercion. The link is inferential rather than demonstrated.</t>
  </si>
  <si>
    <t>Investing in more aircraft and expanded pilot training strengthens overall force readiness and air-defense depth without, by itself, indicating an imminent offensive timetable. Such investments are consistent with a leadership aim to consolidate defenses and maintain a credible deterrent. Because the measures described are dual-use, they do not uniquely prove a defensive-only intent but align plausibly with it.</t>
  </si>
  <si>
    <t>The evidence is specific and directly related to force-readiness improvements, lending moderate support for the defensive-consolidation hypothesis. However, the same procurement and training actions could also be preparatory for offensive operations; the evidence lacks clear statements of intent or deployment choices that would distinguish defensive consolidation from offensive buildup, so confidence remains moderate rather than high.</t>
  </si>
  <si>
    <t>If Redland were primarily focused on projecting a defensive narrative and avoiding any commitment to initiate war, we would expect its new capabilities to be framed or optimized for homeland protection rather than for facilitating an offensive “co‑ordinated strike” with Northland. The evidence that the transferred aircraft are specifically assessed as complicating Blueland’s defenses in the event of a joint Redland–Northland attack suggests an offensive utility that sits at odds with a strategy aimed at lowering escalation risks and preserving a purely defensive posture.</t>
  </si>
  <si>
    <t>The evidence explicitly links the new aircraft to an offensive contingency, providing a concrete reason to doubt a solely defensive intent; however, it is an outside expert assessment rather than a statement of Redland’s own messaging, so some ambiguity remains about the state's actual intent and framing.</t>
  </si>
  <si>
    <t>An air-and-missile punitive strike would not require Redland ground units to be present in public reporting about an assault window. Therefore the observed absence of Redland ground formations in the 19–25 September reports does not contradict the hypothesis and is consistent with an air-only COA. However, the evidence is indirect: lack of mention does not prove absence, and reporting choices or deception could explain the pattern.</t>
  </si>
  <si>
    <t>Moderate confidence because the evidence is relevant but tangential. The observation supports consistency but is not definitive—reporting limitations, timing differences, or concealment could change the interpretation.</t>
  </si>
  <si>
    <t>The aircraft transfer is a factual military action that neither supports nor undermines the hypothesis that Redland will primarily use energy supplies for coercion. The domains (conventional military reinforcement versus energy-export coercion) are distinct, so the evidence is not relevant enough to change the hypothesis’ likelihood.</t>
  </si>
  <si>
    <t>The underlying report is a verifiable fact, so confidence in the evidence itself is moderate-high. However, its relevance to the energy-coercion hypothesis is indirect; therefore overall confidence in the neutrality assessment is moderate.</t>
  </si>
  <si>
    <t>The evidence is an authoritative assessment that the president’s strategy prioritizes non‑military measures. That emphasis is logically inconsistent with the hypothesis that Redland is preparing overt escalatory sub‑threshold military probes or raids; absent additional evidence of deliberate deception, the assessment reduces the likelihood of such military action being a central planned instrument.</t>
  </si>
  <si>
    <t>The source is an expert assessment directly addressing strategic intent, giving it substantial relevance. However, it could reflect public messaging, intentional deception, or be outdated—factors that prevent full certainty—so confidence is moderate rather than high.</t>
  </si>
  <si>
    <t>If Redland is deliberately shifting away from dependence on the Union and courting new partners for weapons and political leverage, we would expect to see concrete evidence of arms transfers from non-Union sources. The in-country deployment of Mirage fighters—aircraft not produced by the Union and singled out as uniquely useful for Redland’s military needs—fits exactly that expectation and signals active defense cooperation with alternative suppliers.</t>
  </si>
  <si>
    <t>The aircraft type strongly implies a Western (non-Union) origin, aligning well with the hypothesized diversification strategy, but the text does not explicitly name the provider, leaving some uncertainty about whether the Union could still be indirectly involved.</t>
  </si>
  <si>
    <t>If Redland applies targeted economic coercion rather than kinetic action, we would not specifically expect an intelligence estimate about future air-to-air loss ratios; such a judgment concerns relative air power, not trade or financial levers. The evidence neither supports nor contradicts the notion that Redland will rely on economic measures, so it carries no logical weight for or against the hypothesis.</t>
  </si>
  <si>
    <t>The evidence is only tangentially related to the hypothesis and offers no clear linkage, positive or negative, hence confidence in the neutrality rating is modest. Limited inferential steps are required, but the lack of direct relevance keeps certainty low.</t>
  </si>
  <si>
    <t>A public signal to defer political-status discussions is consistent with preparing a major offensive because it preserves operational freedom and avoids revealing final political aims. The evidence does not directly prove an imminent offensive but aligns with typical preparatory political messaging for such operations.</t>
  </si>
  <si>
    <t>The connection is inferential rather than based on operational indicators (forces, logistics, movements). The evidence is ambiguous and could also reflect genuine long-term diplomatic posture, so confidence in the linkage is limited.</t>
  </si>
  <si>
    <t>A senior leader’s explicit private statement that hostilities should begin within a defined short timeframe to trigger foreign intervention indicates an intention to escalate rather than to avoid interstate conflict. That intent conflicts with the hypothesis that Redland seeks to prevent escalation and refrain from initiating open warfare.</t>
  </si>
  <si>
    <t>The evidence is a direct, attributed quote from the President reported by a senior aide, making it a highly relevant indicator. Confidence is tempered by potential uncertainties about the source’s reliability, context, and whether the stated intent has been or will be acted upon.</t>
  </si>
  <si>
    <t>If Redland were truly preparing a near-term ground incursion into the Border Zone, we would expect its SA-6 batteries to be pushed forward and kept at a steady, elevated alert to shield staging areas, supply routes, and advancing troops. Instead, the evidence shows the systems tied to the Capital Airfield—well to the rear of the intended fight—and their positioning/readiness oscillating over two months, a pattern that suggests routine defense or signaling rather than the sustained, forward-leaning posture normally associated with imminent offensive operations.</t>
  </si>
  <si>
    <t>The evidence is specific (location, system type, time-bounded fluctuations) and directly relevant to force posture, giving moderate grounding for judging inconsistency. However, air-defense employment can serve multiple purposes (strategic deception, conservation, logistical constraints), so alternative interpretations remain plausible, keeping confidence short of high.</t>
  </si>
  <si>
    <t>The assessment focuses on Northland’s expected behavior in a specific offensive scenario and does not address whether Redland is conducting de‑escalatory messaging or implementing cyber defenses to enable talks. Therefore the evidence neither supports nor contradicts the hypothesis about pursuing a calibrated de‑escalatory information strategy and cyber hardening.</t>
  </si>
  <si>
    <t>The cited statement is clear and specific, making mapping to the hypothesis straightforward; however, because the evidence is topically disconnected from information operations and cyber measures, there remains appreciable uncertainty about its relevance, yielding moderate confidence.</t>
  </si>
  <si>
    <t>An assessment that Redland's drills are posturing rather than preparations for war aligns with the hypothesis that Redland is trying to avoid a new conflict while prioritizing economic ties with the West. The memo's judgment that hostilities are unlikely supports the idea that Redland's recent actions are signaling rather than genuine war-preparation, which is consistent with an economic/diplomatic pivot.</t>
  </si>
  <si>
    <t>The evidence is a credible expert interpretation that matches the hypothesis, but it is indirect: it interprets military behavior rather than documenting explicit policy shifts toward Western capital. That leaves moderate but not high confidence.</t>
  </si>
  <si>
    <t>Relocating long‑range strike platforms to the Capital area is the kind of preparatory action expected if Redland intended to enable joint operations with Northland. The lack of transported missile loads reduces evidence of an imminent strike but does not contradict the hypothesis that the move was to enable a future Northland‑led attack, since weapons and targeting support can be staged later or already be available locally.</t>
  </si>
  <si>
    <t>Moderate confidence because the observed aircraft movements directly support the hypothesis, but key gaps remain: no confirmed transfer of missiles, no direct evidence of coordination with Northland, and limited temporal/contextual detail about timing and command integration.</t>
  </si>
  <si>
    <t>If Redland adopts a coercive defensive posture focused on deterrence by denial, we would expect it to thicken its air-defense umbrella along the threatened frontier. The redeployment of an entire SA-6 regiment and the occupation of four new SA-6 sites only 17 NM from the Border Zone provide exactly the kind of layered, denial-oriented coverage the hypothesis predicts. Nothing in the evidence suggests offensive maneuver forces or deep-strike preparations, so the activity aligns tightly with a deterrent fortification effort.</t>
  </si>
  <si>
    <t>The evidence is specific (unit type, quantity, location) and matches a key indicator named in the hypothesis (expanded air-defense deployments). While SAM moves can also be used to mask or protect offensive build-ups, the absence of offensive correlates in the available information supports reasonably high—but not absolute—confidence in the consistency judgment.</t>
  </si>
  <si>
    <t>If Redland planned to launch a major combined-arms offensive within 3–6 months, leadership messaging would likely justify or normalize imminent use of force rather than highlight external actors pressing for a peaceful resolution. The President's public attribution of pressure to remain peaceful therefore argues against a near-term major offensive, making the hypothesis inconsistent with the cited evidence.</t>
  </si>
  <si>
    <t>The evidence is a direct, attributable public statement by the country's leader, which carries meaningful weight. Nonetheless, public rhetoric can be deceptive or intended as diplomatic cover, so there remains moderate uncertainty about the extent to which the statement constrains actual military preparations.</t>
  </si>
  <si>
    <t>A conciliatory, non-warlike speech is what one would expect if diplomacy were being used as a cover for preparing renewed fighting: it reduces the likelihood of immediate countermeasures and international interference. The evidence neither directly confirms covert preparations nor rules out sincere de-escalation, so it supports the hypothesis without strongly proving it.</t>
  </si>
  <si>
    <t>The evidence is reliable (a presidential speech) and relevant, but its interpretation is circumstantial. Similar language can indicate genuine intent to negotiate, so the connection to a deceptive preparatory strategy is plausible but not definitive, yielding slightly above-even confidence.</t>
  </si>
  <si>
    <t>If a future in which Redland intends to initiate or back hostilities were true, we would expect the regime to pursue measures that improve its expected combat performance and to see outside analysts noting those improvements. An expert assessment that Blueland can no longer count on a 30-to-1 air-combat advantage fits that expectation because stronger Redland air defenses would reduce perceived risk and make an attack decision more tenable. The finding does not, however, uniquely flow from an offensive intent—better defenses could also serve pure deterrence—so the evidence is supportive but not strongly predictive.</t>
  </si>
  <si>
    <t>The evidence is a single analytic judgment, not hard data on specific deployments, and could be compatible with multiple strategic postures. While its logical alignment with a war-starting hypothesis is clear, the lack of exclusivity or quantitative detail lowers confidence in how firmly it underpins the consistency judgment.</t>
  </si>
  <si>
    <t>If Redland were pursuing a sustained defensive posture, analysts would plausibly judge that allied offensives hinge on Redland initiating combat. The expert assessment's statement that offensives are contingent on Redland attacking aligns with (does not contradict) the hypothesis, but it is indirect and limited as confirming evidence.</t>
  </si>
  <si>
    <t>The evaluation is based on a single expert assessment that links conceptually to the hypothesis but does not present direct, verifiable indicators of force posture or intent. That yields moderate confidence in the consistency judgment rather than high certainty.</t>
  </si>
  <si>
    <t>If Denial And Deception Measures To Preserve Surprise For Short-Notice Action were true, we would expect to see force elements repositioned in ways that create an ambiguous operational picture—e.g., major platforms moved without their combat ordnance, masking true readiness and intent. Shifting TU-160 bombers to the Capital while leaving the air-to-surface missiles behind fits such a pattern: it signals capability while minimizing the immediate strike signature, thereby reducing adversary alarm and preserving flexibility for a late, rapid missile upload.</t>
  </si>
  <si>
    <t>The evidence is a concrete, verifiable movement of a high-value asset that directly touches on readiness signaling, giving a reasonable basis for linking it to deception activity. However, the absence of corroborating details about declared exercises, false narratives, or subsequent rapid missile shipments limits certainty; thus confidence is moderate rather than high.</t>
  </si>
  <si>
    <t>Dependence on Union support and recognition of constraints are consistent with incentives to seek alternative tools that require less overt conventional force (e.g., covert cyber and information operations). The evidence does not explicitly state intent or capabilities for cyber activity, so it supports the hypothesis indirectly rather than confirming it directly.</t>
  </si>
  <si>
    <t>Moderate confidence because the evidence establishes a plausible motive (conventional limits) but provides no direct mention of cyber or information operations, nor of capability or intent; therefore the linkage is suggestive but not strongly substantiated.</t>
  </si>
  <si>
    <t>A plan to ensure fighting commences to trigger outside intervention conflicts with a strategy centered on pursuing a Federation-mediated settlement via shuttle diplomacy and avoiding escalation. The evidence signals intent to initiate or allow hostilities rather than prioritize avoidance of military action, so it weighs against the hypothesis. However, because the claim is a private, possibly coercive statement, ambiguity remains about whether it reflects genuine operational intent or rhetorical signaling, preventing classification as very inconsistent.</t>
  </si>
  <si>
    <t>Moderately high confidence because the evidence is a direct, attributed statement from the President that contradicts the mediation-focused hypothesis. Confidence is reduced because the statement could be a strategic bluff, the source/context are limited, and no corroborating evidence is provided.</t>
  </si>
  <si>
    <t>A decision to initiate or support hostilities would create an operational need to deceive adversary targeting and conceal true force dispositions. Maintaining a large number of dummy SAM sites is compatible with those deception objectives and therefore is consistent with preparations for hostilities. However, the same deception measure also plausibly supports a primarily defensive posture (to complicate enemy targeting while remaining non-offensive), so the evidence does not strongly distinguish offensive intent and is thus graded as 'Consistent' rather than 'VeryConsistent.'</t>
  </si>
  <si>
    <t>The observation (206 dummy sites) is specific and relevant, but its link to offensive intent is not unique: many states use decoys for defensive hardening or signaling without planning to attack. Additionally, the provided information lacks provenance and corroborating indicators (e.g., mobilization of offensive forces, logistic preparations, command directives), which lowers confidence. Therefore a moderate confidence level is appropriate.</t>
  </si>
  <si>
    <t>If Redland were mainly tightening internal information control while outwardly projecting restraint, we would not necessarily expect—or be surprised by—an economic realignment toward 'intrinsic power' and courting Western capital. The evidence concerns economic strategy rather than information‑operations or public messaging, so it neither supports nor contradicts the hypothesis directly.</t>
  </si>
  <si>
    <t>The evidence is specific and appears credible about an economic pivot, but its logical linkage to the hypothesis (information control + outward restraint) is indirect. Because the domains only partially overlap, the neutrality judgment is assigned with moderate confidence.</t>
  </si>
  <si>
    <t>If Redland is trying to convince outsiders that escalation is imminent, public steps that increase and display military capability would help make that narrative credible. Prioritizing aircraft purchases and expanded pilot training are visible indicators of growing capacity, so they are consistent with an influence-first campaign aimed at signaling imminent escalation rather than contradicting it.</t>
  </si>
  <si>
    <t>The underlying facts (procurement and training emphasis) are concrete and observable, supporting moderate confidence. However, the causal link to a deliberate coercive information campaign is indirect and could reflect alternative motivations, so confidence is limited rather than high.</t>
  </si>
  <si>
    <t>If Redland intends to sustain low-intensity pressure through intermittent air-defense escalations, we would expect it to move additional SAM assets forward to signal capability and complicate Blueland’s air operations without crossing the threshold into direct offensive action. Occupying four new SA-6 sites within 17 nm of the Border Zone is exactly such an air-defense escalation and therefore fits neatly with the hypothesized COA.</t>
  </si>
  <si>
    <t>The evidence is concrete, time-bound, and directly tied to air-defense activity envisioned in the hypothesis, supporting a moderate level of analytic confidence. However, forward SAM deployments could also precede higher-end conflict preparations, introducing some ambiguity and preventing higher confidence.</t>
  </si>
  <si>
    <t>If Redland intends to intensify third‑party mediation while eschewing direct talks with Blueland, we would expect less immediate need for new offensive weapons and therefore a greater plausibility of capped external military support. The Union’s decision to limit arms is compatible with, and does not contradict, a shift toward mediation; the evidence is indirectly linked and thus supports the hypothesis without proving it.</t>
  </si>
  <si>
    <t>The evidence is an attributed claim about military aid reductions, which plausibly aligns with the hypothesis but does not directly show Redland’s diplomatic intentions or behavior. Because the link is inferential rather than explicit, confidence is moderate.</t>
  </si>
  <si>
    <t>A senior leader publicly framing the preferred approach as seeking a "peaceful solution" and citing compulsion by the Union implies diplomatic and political constraints that work against launching an imminent limited coercive air campaign. The statement therefore contradicts the expectation of imminent offensive air action absent additional evidence showing parallel operational preparations or contradictory leadership signals.</t>
  </si>
  <si>
    <t>The evidence is a direct, attributable public statement, so its authenticity is high. But leaders occasionally issue peace-oriented public statements while covertly preparing limited operations, and the single statement does not rule out contradictory signals or classified preparations. That ambiguity yields moderate confidence rather than high.</t>
  </si>
  <si>
    <t>If Redland intends to stage an engineered incident to justify escalation, raising overall military readiness (more aircraft, trained pilots) is compatible with that intent because it provides the capability to execute or exploit such an incident. The evidence therefore supports consistency with the hypothesis but does not by itself demonstrate deceptive intent or false-flag planning.</t>
  </si>
  <si>
    <t>Moderate-to-low confidence because the evidence is indirect: increased airpower is a common precursor to many military courses of action, not uniquely indicative of a false-flag plan. The data is specific about procurement and training but lacks direct indicators of deception, media manipulation, or operational planning for a staged incident.</t>
  </si>
  <si>
    <t>If Redland planned to secure gains via economic inducements and diplomacy, it would have an incentive to avoid actions that could jeopardize that approach. The observed absence of Redland (or other outside) forces during the September offensive is therefore consistent with a strategy of preserving non-military leverage rather than engaging militarily.</t>
  </si>
  <si>
    <t>The connection is indirect: the evidence documents a lack of military participation but does not itself mention Redland's economic or diplomatic strategy. Without source detail or direct statements of intent, the inference is plausible but not strongly supported, yielding moderate confidence.</t>
  </si>
  <si>
    <t>The president's explicit frustration with the status quo and stated priority of recovering occupied territory provide a plausible political motive for ordering limited, targeted military actions in the Border Zone. The evidence aligns with the hypothesized intent but does not itself demonstrate that actions will be limited in scope or controlled, so it supports consistency without proving the full hypothesis.</t>
  </si>
  <si>
    <t>The source is an explicit attribution of intent, giving moderate confidence that the president seeks territorial recovery. However, the evidence addresses motivation rather than operational plans or limits, leaving uncertainty about whether any ordered action would be limited versus escalatory.</t>
  </si>
  <si>
    <t>A substantial (220%) rise in defense spending increases fiscal pressure and the marginal cost of kinetic operations. That economic constraint makes lower-cost instruments—targeted economic warfare—more attractive. The spending surge therefore aligns with and supports the hypothesis but does not directly prove it.</t>
  </si>
  <si>
    <t>Moderate confidence because the evidence establishes a plausible causal incentive (cost pressure) but is indirect. The spending increase does not by itself demonstrate strategic choice, intent, or capability to prioritize economic warfare over kinetic options.</t>
  </si>
  <si>
    <t>If Redland intends merely to create a credible war scare short of actual combat, we would expect its leadership to regard the present territorial stalemate as unacceptable and to state publicly that regaining the occupied lands is a primary goal. Such dissatisfaction supplies the political motivation for coercive military posturing. The statement does not obligate Redland to launch real hostilities, nor does it contradict a strategy of intimidation without a full attack.</t>
  </si>
  <si>
    <t>The evidence is a direct statement of the president’s objectives, which makes its authenticity likely. However, inferring a specific operational choice (limited war scare versus full-scale invasion or diplomatic measures) from that statement is interpretive, so overall confidence is moderate rather than high.</t>
  </si>
  <si>
    <t>The evidence speaks to Redland's public diplomatic stance (rejecting partial agreements) but does not provide direct information about intent, capability, planning, or decision to carry out deniable cyber-attacks. A hard-line negotiating posture is neither necessary nor sufficient to infer a decision to pursue covert cyber operations, so the evidence neither supports nor contradicts the hypothesis.</t>
  </si>
  <si>
    <t>The underlying evidence is specific and credible regarding diplomacy, but its relevance to clandestine cyber activity is limited. Therefore confidence that this evidence bears on the hypothesis is low–moderate.</t>
  </si>
  <si>
    <t>A private statement by Redland’s president that fighting "must commence within the next few months" to provoke outside involvement directly contradicts the notion that Redland primarily seeks a pause to lock in the status quo and reduce costs. That remark points toward planned escalation rather than a stabilizing interim freeze, producing clear inconsistency with the hypothesis.</t>
  </si>
  <si>
    <t>The evidence is a direct, attributed statement from a senior actor about intent and timing, giving it high relevance and probative value. Confidence is reduced from maximum because the remark is single-source, private (possible misreporting or dissembling), and might reflect a subset of options rather than settled policy.</t>
  </si>
  <si>
    <t>If Redland shifts toward a pragmatic diplomatic de-escalation, we would expect it to invest effort in multilateral forums such as the UN General Assembly and employ information operations that frame Blueland and the Federation as diplomatically isolated. Such messaging bolsters bargaining leverage for an interim freeze or monitoring arrangement without resorting to force, and therefore fits logically with a de-escalation strategy. The evidence neither contradicts nor strongly exceeds what the hypothesis predicts, so it is simply consistent.</t>
  </si>
  <si>
    <t>The link rests on a broad alignment: diplomatic maneuvering is compatible with a de-escalation COA. However, the evidence does not mention concrete proposals for freezes or monitoring—only a propaganda effort—so the fit, while reasonable, is not highly specific. This yields moderate rather than high confidence.</t>
  </si>
  <si>
    <t>If Redland intends to let Northland be the principal attacker while it stays in the background, we would expect Redland to be sensitive to the high costs of mounting its own frontal assault. A warning from a third‑party leader that such an attack would be "suicidal" fits that context and reinforces the logic of avoiding direct initiation; it neither contradicts nor strongly confirms the enabling strategy.</t>
  </si>
  <si>
    <t>The evidence is specific and clearly relates to the risks of Redland leading an assault, but it does not mention Northland coordination, explicit enabling measures, or indirect support. Therefore the connection to the hypothesis is plausible yet not highly specific, yielding moderate confidence.</t>
  </si>
  <si>
    <t>The SAM failure is consistent with the hypothesis because it illustrates a concrete military weakness that would make a diplomatic-economic course of action more attractive relative to decisive military escalation. The evidence therefore supports (but does not prove) the claim that Redland might prioritize economic concessions to gain diplomatic leverage.</t>
  </si>
  <si>
    <t>Moderate confidence because the fact is verifiable and relevant, but the causal step from a single military performance problem to a strategic decision to offer economic concessions is inferential. No direct statements or multiple corroborating incidents are provided to establish intent, so confidence is limited.</t>
  </si>
  <si>
    <t>A private assertion by the President that "fighting must commence within the next few months" directly contradicts the hypothesis’ core claim that Redland will avoid committing to combat in the near term. If taken at face value as an expression of intent or directive, it implies planning or willingness to initiate hostilities within the hypothesis’ timeframe, not solely domestic showmanship and delay tactics.</t>
  </si>
  <si>
    <t>Moderately high confidence because the evidence is a specific, attributable private statement that aligns temporally with the hypothesis’ defined near-term window. Residual uncertainty remains because the remark could be rhetorical, coercive signaling, or conditional on other developments; absent corroborating operational indicators, absolute certainty is not possible.</t>
  </si>
  <si>
    <t>If Redland’s strategy were to pursue a UN-focused diplomatic campaign while avoiding active hostilities, we would expect its force posture to be primarily defensive in order to deter or absorb any Blueland reaction without provoking war. Evidence that most troop and SAM relocations are interpreted by analysts as 'defensive reactions' to fear of a Blueland reprisal neatly fits this logic and is exactly what we would anticipate under a diplomacy-first COA.</t>
  </si>
  <si>
    <t>The evidence directly addresses military posture, one of the key observable behaviors that should accompany a diplomacy-led strategy, so the relevance is high. However, the judgment that the moves are defensive comes from analysts’ interpretation rather than primary data, leaving room for alternative explanations; hence moderate confidence.</t>
  </si>
  <si>
    <t>If Redland were moving toward a war-economy posture, senior officials noting rising fiscal burdens and popular pressure tied to sustaining a large standing force is an expected signal. The Foreign Minister’s comment about “irresistible domestic pressure” over army expenses aligns with that expectation and therefore is consistent with the hypothesis, though it does not by itself prove policy change.</t>
  </si>
  <si>
    <t>The evidence is a quoted perception from a senior official rather than verifiable data on budgetary decisions or legal emergency measures. That makes the link plausible but moderate in strength; alternative explanations (rhetorical positioning, political signaling) remain possible.</t>
  </si>
  <si>
    <t>A deployment of a strike platform uniquely capable of penetrating Blueland’s defenses is inconsistent with an exclusively information-centric, diplomatic off-ramp that emphasizes de-escalatory signaling. Such a move indicates preparation for kinetic options or at least coercive leverage, which would undercut the credibility of a purely political pause.</t>
  </si>
  <si>
    <t>Moderate confidence because the underlying fact (deployment of the Mirage) is concrete and directly relevant to assessing intent. However, intent is ambiguous: the same capability could be used as bargaining leverage or deterrence during negotiations, so the interpretive step from deployment to foreclosing a diplomatic off-ramp is not certain.</t>
  </si>
  <si>
    <t>The evidence—that analysts doubt Blueland can achieve the previously observed 30:1 air-to-air kill ratio—indicates a reduction in Blueland’s air dominance or improved Redland countermeasures. That outcome is exactly what Redland would want if it were quietly preparing for a future offensive while engaging diplomatically, so the evidence aligns with (is consistent with) the hypothesis rather than contradicting it. It is supportive but indirect: it shows a capability shift rather than direct intent or diplomatic linkage.</t>
  </si>
  <si>
    <t>Moderate confidence because the evidence is a relevant expert assessment about a specific military capability, which logically fits the hypothesis. Confidence is not high because the single assessment does not directly demonstrate Redland’s diplomatic strategy or concrete force changes—only that Blueland’s air advantage may be reduced.</t>
  </si>
  <si>
    <t>The president's explicit distrust of the Federation and Blueland (framing their actions as "psychological warfare") plausibly motivates avoiding direct negotiations and seeking less visible intermediaries. The evidence aligns with the expected behavior under the hypothesis, though it does not directly demonstrate third-party mediation.</t>
  </si>
  <si>
    <t>The connection is logically plausible but indirect: the evidence shows motive (distrust) but lacks direct proof of third-party or back-channel use. Because the link requires inference rather than citing explicit mediator activity, confidence is moderate-to-low.</t>
  </si>
  <si>
    <t>If Redland intends to force a settlement through coordinated front-pressure with military overtones, we would mainly expect signs of joint posture hikes, exercises, or threat messaging with Northland and other allies. The cited evidence instead describes an earlier attempt to organize an oil boycott and a temporary deemphasis of the military option—activities that neither confirm nor flatly contradict the prospect of future synchronized military pressure. Because the evidence concerns an economic lever used at a different point in time, it is largely orthogonal to the hypothesized military-centric crisis strategy.</t>
  </si>
  <si>
    <t>The evidence is specific and well-sourced, but its linkage to the hypothesis is indirect and time-shifted, leaving considerable room for multiple interpretations. This weak, tangential connection lowers confidence in the neutrality assessment.</t>
  </si>
  <si>
    <t>If Redland will stage limited provocations to relieve pressure and raise crisis costs, we would expect some internal impetus pushing the leadership toward some form of renewed fighting. A perception by the Foreign Minister that there is "irresistible domestic pressure" to resume hostilities fits as a plausible motivational factor for opting for lower-risk, limited military actions rather than a major offensive. The statement does not guarantee such a strategy, but it aligns and does not conflict with it.</t>
  </si>
  <si>
    <t>The evidence speaks directly to internal motivations, which are relevant to any course-of-action choice, so linkage is moderate. However, it is only a subjective perception by one official and does not specify the scale or type of action desired, so the certainty that this pressure translates specifically into limited provocations remains limited.</t>
  </si>
  <si>
    <t>Deliberately deploying a large number of dummy SAM sites aligns closely with the hypothesized tactic of exaggerating or obscuring air-defense posture to create credible but controlled threats. The magnitude and nature of the measure (206 decoys) are exactly the sort of deception one would expect if Redland sought to signal the capability or readiness for limited action while avoiding open conflict.</t>
  </si>
  <si>
    <t>The underlying evidence is concrete and directly connected to the hypothesized deception mechanism, supporting above-average confidence. Residual uncertainty remains because the same deployment could be explained by non-deceptive motives (defensive dispersion, training, or misreporting), preventing higher confidence.</t>
  </si>
  <si>
    <t>The evidence concerns diplomatic willingness to separate the statehood question from other issues; it speaks to negotiation tactics rather than observable military measures (air-defense build-up, force dispersal, avoidance of offensives). Because the evidence is orthogonal to the military indicators that would support or refute the hypothesis, it does not move the assessment toward consistent or inconsistent.</t>
  </si>
  <si>
    <t>The statement is clear and specific but is about diplomacy, not military posture. The link between such a diplomatic signal and the hypothesis about defensive military consolidation is indirect, so confidence that this evidence bears on the hypothesis is limited.</t>
  </si>
  <si>
    <t>If Redland were pursuing a strategy of backchannel diplomacy and public ambiguity to extract concessions, we would expect it to hedge politically and economically—reducing dependence on a single patron and signaling alternative alignments—to increase leverage in negotiations. Seeking Western capital and loosening reliance on the Union fits that hedging behavior and does not conflict with the hypothesized intent to avoid firm commitment to renewed war or an interim deal.</t>
  </si>
  <si>
    <t>The evidence of courting Western investment is plausibly supportive of a broader diplomatic balancing act, but it is not uniquely or directly predicted by the hypothesis; other motivations (e.g., pure economic necessity) could also drive it. Therefore, the logical link exists but is only moderately strong.</t>
  </si>
  <si>
    <t>A public willingness to de-link the occupied-region's statehood from negotiations is a diplomatic posture about agenda-setting. It neither provides evidence that Blueland is planning or conducting a false-flag operation nor directly contradicts that hypothesis. The statement is tangential: preparatory actions for a manufactured incident would more plausibly include explicit steps to plant evidence, coordinate covert actors, or publicly precondition blame, none of which are present in this evidence.</t>
  </si>
  <si>
    <t>The available evidence is limited to a diplomatic statement that is only loosely related to the hypothesis. Because the connection is speculative and indirect, confidence in the neutrality assessment is low-to-moderate.</t>
  </si>
  <si>
    <t>If Redland is prioritizing psychological pressure over imminent large-scale combat, it would plausibly seek weapons to improve bargaining leverage but would not be critically dependent on their successful delivery. A failed arms purchase therefore does not contradict the hypothesis and can be accommodated within it; it may even push Redland to rely more on signaling and diplomatic coercion. Because the hypothesis does not strongly predict the success or failure of procurement attempts, the link between this specific evidence and the hypothesis is moderate rather than decisive.</t>
  </si>
  <si>
    <t>The evidence is concrete and specific (a verifiable procurement failure), which allows a straightforward compatibility assessment. Yet the hypothesis is broad and does not make a strong claim about procurement outcomes, and the failed purchase admits reasonable alternative interpretations (e.g., reduced capability or credibility). These factors yield a middle-range confidence.</t>
  </si>
  <si>
    <t>If Redland's primary plan were to rely on energy and commodity leverage, public reporting would more likely emphasize export decisions, market interventions, or diplomatic/economic signaling. Instead, the May discussions about 'resuming hostilities' and the September 26 surge in operational and air‑defense readiness indicate concrete military planning and preparation, which contradicts the hypothesis that economic coercion is the primary strategy.</t>
  </si>
  <si>
    <t>The cited evidence is specific (dates and described actions) and directly relevant, giving moderate confidence. However, Redland could still pursue economic coercion in parallel with military preparations, and the reported items are attributed rather than independently verified in this conversation, leaving some residual uncertainty.</t>
  </si>
  <si>
    <t>An attempt to coordinate an oil boycott is consistent with a strategy emphasizing non-kinetic pressure and signaling. Economic measures like an oil boycott can strengthen coercive messaging and credibility without necessitating open kinetic conflict; therefore this evidence supports, rather than contradicts, an IO/cyber-centric coercion hypothesis.</t>
  </si>
  <si>
    <t>The evidence is concrete and logically supportive of a coercive, non-kinetic approach. However, the linkage is indirect: an oil boycott is an economic instrument rather than an information or cyber operation, so while compatible with the hypothesis the evidence does not definitively prove IO/cyber primacy.</t>
  </si>
  <si>
    <t>If Redland’s near-term strategy were chiefly to shore up domestic legitimacy through information control and economic stabilization, we would expect resources and attention to be directed toward media controls, subsidies, and social-economic measures rather than acquiring niche offensive platforms. The arrival of Mirage fighters optimized for penetrating Blueland air defenses suggests planning for external kinetic options, diverting funds and signaling an intent to project force, which runs counter to a primarily inward-focused stabilization effort.</t>
  </si>
  <si>
    <t>The evidence is specific (identifies a particular aircraft type and its unique offensive value), giving moderate clarity on its military significance. However, it is possible the acquisition serves other purposes (deterrence signaling, regime prestige, or limited defensive needs), and the observation alone does not definitively prove strategic prioritization, so confidence is moderate rather than high.</t>
  </si>
  <si>
    <t>If Redland’s near-term strategy were focused on covert cyber and information attacks, we would expect planning indicators in the virtual domain rather than movements of strategic bombers; the TU-160 relocation neither supports nor contradicts cyber activity because the aircraft are irrelevant to network operations. The fact that their missiles were not moved suggests posturing or deception, but this is not inherently predicted by a cyber-centric COA.</t>
  </si>
  <si>
    <t>The evidence speaks to kinetic air assets while the hypothesis concerns non-kinetic cyber actions, creating little direct linkage. Because the connection relies on speculative explanations (e.g., diversionary signaling), confidence in the neutrality judgment is modest.</t>
  </si>
  <si>
    <t>If Redland were primarily seeking Western financial support to relieve fiscal strain while deliberately avoiding near-term military escalation, we would expect outward-facing economic diplomacy and cost-containment, not the acquisition of 46 additional front-line combat aircraft. Such a purchase (or transfer) signals a continued emphasis on military capability, diverts resources, and can heighten tensions, which runs counter to a strategy centered on economic endurance and de-escalation.</t>
  </si>
  <si>
    <t>The evidence is concrete and specific (delivery of Su-30s and MiG-29s), allowing a clear assessment of its military nature. However, uncertainty remains because a state could simultaneously seek economic aid and augment defenses for deterrence, leaving some room for alternative interpretations.</t>
  </si>
  <si>
    <t>Moving an air-defense regiment from a rear area to more forward or otherwise visible locations is exactly the sort of conspicuous but non-offensive military action that can serve as crisis-signaling to attract outside attention or intervention. The reported movement therefore aligns with the hypothesis rather than contradicting it.</t>
  </si>
  <si>
    <t>The assessment rests on a single reported movement with no information about destination, orders, or accompanying political signaling. That makes the linkage to deliberate crisis-signaling plausible but uncertain, producing moderate confidence rather than high confidence.</t>
  </si>
  <si>
    <t>If Redland is primarily preparing to apply punitive economic pressure while avoiding a fight, we would expect its armed forces to stay in a protective, non‑provocative stance. Evidence that most troop and SAM adjustments were interpreted by analysts as defensive responses to feared Blueland reprisals fits such a low‑risk, deterrent posture and does not conflict with an economic‑first strategy.</t>
  </si>
  <si>
    <t>The evidence relates to military posture rather than explicit statements about economic policy, so the match is indirect. Defensive military behavior is consistent with avoiding escalation, supporting moderate confidence but not strong certainty.</t>
  </si>
  <si>
    <t>Withdrawing SA-6 batteries from forward March positions by May is compatible with a strategy that emphasizes diplomacy because it reduces the visible offensive military posture and lowers incident risk that could jeopardize international lobbying. The movement does not prove the hypothesis but aligns with it and does not contradict it.</t>
  </si>
  <si>
    <t>The underlying fact (movement of SAM units) is concrete and directly relevant, giving moderate evidentiary value. The link from that movement to an intentional diplomacy-first strategic shift is inferential and could be explained by other operational reasons, so overall confidence in the hypothesis given this evidence is moderate rather than high.</t>
  </si>
  <si>
    <t>If Redland is mainly focused on domestic-legitimacy messaging rather than preparing to fight, we would expect senior advisers to judge an early attack as too risky and to frame military action as an unattractive option. The advisor’s remark that war is "too adventurous" directly matches that expectation and therefore strongly supports the hypothesis.</t>
  </si>
  <si>
    <t>The evidence is explicit, attributed to a named insider, and directly addresses leadership’s appetite for war, making it highly relevant. However, it is a single source/remark, leaving open the possibility that other advisers or leaders hold different views, so confidence is moderate rather than high.</t>
  </si>
  <si>
    <t>A strategy aimed at courting Western investment would favor avoiding actions likely to trigger war and frighten off investors; a defensive military posture interpreted as fear of reprisals is compatible with such a conciliatory economic strategy. The available evidence supports this linkage but does not directly prove the existence of an active economic opening policy, so the fit is plausible but not definitive.</t>
  </si>
  <si>
    <t>Moderate confidence because the inference is reasonable but indirect: the evidence shows a non‑provocative military stance (expert assessment) but lacks direct evidence of economic outreach, official policy statements, or changes in economic behavior that would more strongly confirm the hypothesis.</t>
  </si>
  <si>
    <t>ScoreRationale</t>
  </si>
  <si>
    <t>ConfidenceScore</t>
  </si>
  <si>
    <t>ConfidenceRationale</t>
  </si>
  <si>
    <t>My_Code</t>
  </si>
  <si>
    <t>Yes</t>
  </si>
  <si>
    <t>No</t>
  </si>
  <si>
    <t>My Assessment Notes</t>
  </si>
  <si>
    <t>Notes on Rationales</t>
  </si>
  <si>
    <t>Probably a better rationale and score than mine</t>
  </si>
  <si>
    <t>The LLM correctly used additional context in its assessment, which I did not recognize or remember from the context. If I had remembered it, my score might have changed to closely align with the LLM.</t>
  </si>
  <si>
    <t>Good confidence rationale</t>
  </si>
  <si>
    <t>Good point that I hadn't thought of</t>
  </si>
  <si>
    <t>Possible example of one piece of evidence being weighed too heavily</t>
  </si>
  <si>
    <t>I would have changed my mind based on LLM rationale. I didn't focus on the economic stabilization emphasis, so the LLM's rationale is better in this case.</t>
  </si>
  <si>
    <t>Good example where the LLM highlights ambiguous information (lack of destination, orders, etc) that lowered the confidence score.</t>
  </si>
  <si>
    <t>B9390775-091C-462A-8F98-F2FA211919BC</t>
  </si>
  <si>
    <t>Within 3–6 months, Redland will increase diplomatic pressure in international forums—filing or sponsoring UN/resolution drafts, leading coordinated joint statements and media campaigns—to portray Blueland and the Federation as isolated/illegitimate while publicly refusing direct talks with Blueland.</t>
  </si>
  <si>
    <t>In late June 2025, Redland SAM crews fired at Blueland aircraft but failed to hit any.</t>
  </si>
  <si>
    <t>A solitary, ineffective SAM shot is a tactical datapoint that can occur under many strategies (routine defense, probing, limited harassment, or constrained coercion). It neither supports nor contradicts a broader diplomatic strategy focused on UN resolutions and messaging because such a strategy can coexist with isolated, low-level kinetic incidents. Therefore the evidence is not diagnostic for the hypothesis.</t>
  </si>
  <si>
    <t>The evidence is narrowly tactical and ambiguous in intent. Because one small engagement could be interpreted in multiple ways and provides little information about behavior in diplomatic fora, confidence in the neutral assessment is moderate rather than high.</t>
  </si>
  <si>
    <t>Column Labels</t>
  </si>
  <si>
    <t>Grand Total</t>
  </si>
  <si>
    <t>Row Labels</t>
  </si>
  <si>
    <t>Count of EvaluationSK</t>
  </si>
  <si>
    <t>Human Code</t>
  </si>
  <si>
    <t>System Code</t>
  </si>
  <si>
    <t>I incorrectly coded this as inconsistent rather than neutral</t>
  </si>
  <si>
    <t>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</si>
</sst>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font>
    <font>
      <sz val="11"/>
      <color theme="1"/>
      <name val="Times New Roman"/>
      <family val="1"/>
    </font>
    <font>
      <b/>
      <sz val="11"/>
      <color theme="1"/>
      <name val="Times New Roman"/>
      <family val="1"/>
    </font>
  </fonts>
  <fills count="6">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3" tint="0.79998168889431442"/>
        <bgColor theme="4" tint="0.79998168889431442"/>
      </patternFill>
    </fill>
    <fill>
      <patternFill patternType="solid">
        <fgColor theme="3" tint="0.79998168889431442"/>
        <bgColor indexed="64"/>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2" fillId="0" borderId="0" xfId="0" applyFont="1"/>
    <xf numFmtId="0" fontId="2" fillId="0" borderId="4" xfId="0" applyFont="1" applyBorder="1" applyAlignment="1">
      <alignment horizontal="center" vertical="center"/>
    </xf>
    <xf numFmtId="0" fontId="2" fillId="0" borderId="3" xfId="0" applyFont="1" applyBorder="1"/>
    <xf numFmtId="0" fontId="3" fillId="2" borderId="5" xfId="0" applyFont="1" applyFill="1" applyBorder="1" applyAlignment="1">
      <alignment horizontal="center" vertical="center"/>
    </xf>
    <xf numFmtId="0" fontId="3" fillId="4"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5" borderId="2" xfId="0" applyFont="1" applyFill="1" applyBorder="1" applyAlignment="1">
      <alignment horizontal="center" vertical="center"/>
    </xf>
    <xf numFmtId="0" fontId="2" fillId="3"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textRotation="90"/>
    </xf>
    <xf numFmtId="0" fontId="0" fillId="0" borderId="0" xfId="0" applyFill="1"/>
  </cellXfs>
  <cellStyles count="1">
    <cellStyle name="Normal" xfId="0" builtinId="0"/>
  </cellStyles>
  <dxfs count="16">
    <dxf>
      <numFmt numFmtId="0" formatCode="General"/>
    </dxf>
    <dxf>
      <alignment textRotation="0" wrapText="1" justifyLastLine="0" shrinkToFit="0" readingOrder="0"/>
    </dxf>
    <dxf>
      <alignment vertical="top" textRotation="0" wrapText="1" indent="0" justifyLastLine="0" shrinkToFit="0" readingOrder="0"/>
    </dxf>
    <dxf>
      <alignment textRotation="0" wrapText="1" justifyLastLine="0" shrinkToFit="0" readingOrder="0"/>
    </dxf>
    <dxf>
      <alignment textRotation="0" wrapText="1" justifyLastLine="0" shrinkToFit="0" readingOrder="0"/>
    </dxf>
    <dxf>
      <alignment textRotation="0" wrapText="1"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 Soderstrom" refreshedDate="46099.091000115739" createdVersion="8" refreshedVersion="8" minRefreshableVersion="3" recordCount="80" xr:uid="{DB9C15F3-D313-4A20-AA64-9931B1359CBD}">
  <cacheSource type="worksheet">
    <worksheetSource name="Table1"/>
  </cacheSource>
  <cacheFields count="16">
    <cacheField name="EvaluationBK" numFmtId="0">
      <sharedItems/>
    </cacheField>
    <cacheField name="EvaluationSK" numFmtId="0">
      <sharedItems containsSemiMixedTypes="0" containsString="0" containsNumber="1" containsInteger="1" minValue="33" maxValue="8417"/>
    </cacheField>
    <cacheField name="ExperimentSK" numFmtId="0">
      <sharedItems containsSemiMixedTypes="0" containsString="0" containsNumber="1" containsInteger="1" minValue="1" maxValue="10"/>
    </cacheField>
    <cacheField name="DIME_Domain" numFmtId="0">
      <sharedItems/>
    </cacheField>
    <cacheField name="System_Code" numFmtId="0">
      <sharedItems containsSemiMixedTypes="0" containsString="0" containsNumber="1" containsInteger="1" minValue="-1" maxValue="2" count="4">
        <n v="-1"/>
        <n v="1"/>
        <n v="0"/>
        <n v="2"/>
      </sharedItems>
    </cacheField>
    <cacheField name="Evidence" numFmtId="0">
      <sharedItems/>
    </cacheField>
    <cacheField name="HypothesisText" numFmtId="0">
      <sharedItems longText="1"/>
    </cacheField>
    <cacheField name="My_Code" numFmtId="0">
      <sharedItems containsSemiMixedTypes="0" containsString="0" containsNumber="1" containsInteger="1" minValue="-2" maxValue="2" count="5">
        <n v="1"/>
        <n v="-1"/>
        <n v="2"/>
        <n v="0"/>
        <n v="-2"/>
      </sharedItems>
    </cacheField>
    <cacheField name="ScoreRationale" numFmtId="0">
      <sharedItems longText="1"/>
    </cacheField>
    <cacheField name="ConfidenceScore" numFmtId="0">
      <sharedItems containsSemiMixedTypes="0" containsString="0" containsNumber="1" minValue="0.28000000000000003" maxValue="0.85"/>
    </cacheField>
    <cacheField name="ConfidenceRationale" numFmtId="0">
      <sharedItems longText="1"/>
    </cacheField>
    <cacheField name="Rationale_Adequate" numFmtId="0">
      <sharedItems/>
    </cacheField>
    <cacheField name="Confidence_Plausible" numFmtId="0">
      <sharedItems/>
    </cacheField>
    <cacheField name="Hallucination_Present" numFmtId="0">
      <sharedItems/>
    </cacheField>
    <cacheField name="My Assessment Notes" numFmtId="0">
      <sharedItems containsBlank="1" longText="1"/>
    </cacheField>
    <cacheField name="Notes on Rational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004FE561-8313-4D96-BADB-B0EDE1C43D77"/>
    <n v="5857"/>
    <n v="6"/>
    <s v="Diplomatic"/>
    <x v="0"/>
    <s v="Analysts assumed most observed Redland military movements were defensive reactions to fear of 'Blueland reprisal for the Mirage transfer.'"/>
    <s v="If diplomacy stalls within 3–6 months, Redland will deliberately escalate via ultimatums, suspension/withdrawal from agreements, symbolic withdrawals, or controlled provocations to create an acute international crisis intended to compel external powers or institutions to intervene and pressure a settlement."/>
    <x v="0"/>
    <s v="If Redland intended deliberate escalation, its force posture would likely appear overtly coercive or ambiguous to raise tensions. The evidence characterizes the movements as precautionary/defensive against potential Blueland retaliation following the Mirage transfer, which contradicts the expectation of a coercive escalation posture and therefore undermines the hypothesis."/>
    <n v="0.55000000000000004"/>
    <s v="The source is an expert analytic assessment (interpretation of intent), not direct documentary proof of Redland's plans; analysts can be wrong or misled by deception. That lowers certainty, but the explicit defensive characterization provides moderate reason to judge the hypothesis inconsistent."/>
    <s v="Yes"/>
    <s v="Yes"/>
    <s v="No"/>
    <s v="The hypothesis assumes Redland takes on a more offensive nature in the event diplomacy fails. If the evidence is correct, this would be somewhat consistent because Redland could be posturing defensively in case they provoke military responses from Blueland."/>
    <m/>
  </r>
  <r>
    <s v="066499EC-EFB0-4CD5-9CA0-33E0C77D1C10"/>
    <n v="1782"/>
    <n v="5"/>
    <s v="Military"/>
    <x v="0"/>
    <s v="Redlandian diplomatic activity in May appeared oriented toward the upcoming UN Security Council debate rather than immediate military conflict."/>
    <s v="In the next 3-6 months, Redland will enable and join a coordinated offensive in which Northland initiates major ground operations while Redland provides critical support (air, air defense, ISR, logistics, and/or follow-on ground action) to overstretch Blueland and enable gains in the Border Zone. Observable indicators: synchronized operations or timing with Northland offensives, Redland cross-border logistics or ISR support, public/private statements of coordination, multi-front pressure on Blueland forces."/>
    <x v="1"/>
    <s v="If Redland were preparing a near-term coordinated two-front offensive with Northland, its immediate diplomacy would likely emphasize operational coordination, securing logistics/partners, secrecy, or narratives to justify imminent hostilities. The evidence indicates diplomats were prioritizing a UN Security Council debate—a political/diplomatic objective inconsistent with immediate offensive preparations—thus contradicting the hypothesis."/>
    <n v="0.6"/>
    <s v="The source is an expert analytic judgment rather than direct, observable indicators of military activity; that yields moderate confidence. The conclusion could be wrong if diplomacy is a deliberate deception or if military preparations are occurring covertly alongside public diplomatic activity."/>
    <s v="Yes"/>
    <s v="Yes"/>
    <s v="No"/>
    <s v="The evidence would indicate Redland is focused on a diplomatic solution. However, knowing Redland's intent if the UN summit is a failure would inform this assessment."/>
    <m/>
  </r>
  <r>
    <s v="07D525EC-9865-42B8-B2D4-FC30E1024251"/>
    <n v="8316"/>
    <n v="2"/>
    <s v="Military"/>
    <x v="1"/>
    <s v="Redland moved TU-160 bombers to the Capital area in late March 2025, but there is no evidence associated missiles were moved."/>
    <s v="Within 3–6 months, Redland will execute a short‑duration, limited air and standoff‑missile campaign against high‑value military and strategic targets (airbases, air defenses, command nodes) in or near the Border Zone to shift bargaining leverage and prompt international intervention while avoiding a major ground invasion."/>
    <x v="2"/>
    <s v="Relocating TU-160 bombers toward the capital is the kind of preparatory, reversible basing change expected if planners are building a limited air/standoff strike option. The lack of observed missile movement raises uncertainty but is not inherently contradictory because long-range strike options can be staged in multiple ways (airborne delivery, later missile movements, covert reloads). Therefore the observed evidence is generally compatible with the hypothesis."/>
    <n v="0.55000000000000004"/>
    <s v="The evidence directly supports one key enabling action (bomber basing) but is incomplete regarding missile logistics and intent. That yields modest confidence—better than random but not high—because alternative explanations (training, deterrence, deception) remain plausible."/>
    <s v="Yes"/>
    <s v="Yes"/>
    <s v="No"/>
    <s v="Very consistent. Relocating bombers, especially with SAM equpiment is also being moved to the same location would be consistent with this COA. The lack of evidence of associated missile movement doesn't prove it didn't happen either."/>
    <m/>
  </r>
  <r>
    <s v="0B8D6021-359A-49B8-B506-32E714459B08"/>
    <n v="1743"/>
    <n v="2"/>
    <s v="Economic"/>
    <x v="0"/>
    <s v="Mirage fighters were identified as the only Redland aircraft capable (low-altitude radius) of penetrating Blueland defenses to strike Blueland."/>
    <s v="Within 3–6 months, Redland will employ energy and commodity leverage (coordinated oil boycotts, supply manipulation, price measures) to raise economic costs for the Federation and Blueland to extract movement on the Border Zone without triggering major combat."/>
    <x v="3"/>
    <s v="A strategy focused primarily on energy and commodity coercion with an intent to avoid major combat would likely prioritize diplomatic, economic, and non-kinetic tools over acquiring/fielding niche offensive strike platforms. The presence and emphasis on Mirage fighters—Redland’s only asset well-suited for low-altitude strikes into Blueland—indicates preparation for kinetic options or at least a credible threat of limited military action, which contradicts the hypothesis that Redland intends to avoid major combat in favor of purely energy-based pressure."/>
    <n v="0.55000000000000004"/>
    <s v="Judgment is based on a single clear operational data point (aircraft type and its mission fit). That gives moderate confidence because the military implication is direct, but alternative explanations (deterrence signaling, hedging, industrial/political motives) mean the evidence does not conclusively prove intent, leaving meaningful uncertainty."/>
    <s v="Yes"/>
    <s v="Yes"/>
    <s v="No"/>
    <s v="No apparent connection"/>
    <m/>
  </r>
  <r>
    <s v="0F31320D-9B0B-4FBB-B28E-552DFA1B85C9"/>
    <n v="2881"/>
    <n v="4"/>
    <s v="Military"/>
    <x v="0"/>
    <s v="A Federation Council memo assessed Redland’s internal military preparations were not practical steps towards war and the probability of renewed hostilities was low."/>
    <s v="Over the next 3–6 months, Redland enables a Northland‑led offensive through air defense, ISR, logistics, advisors, and limited ground elements while keeping principal forces defensively postured; observables: munitions/logistics transfers to Northland, advisory deployments, Northland‑initiated attacks, and limited official Redland cross‑border incidents."/>
    <x v="0"/>
    <s v="If Redland were actively preparing to covertly enable a Northland-led attack while maintaining a defensive public posture, external analysts would likely detect at least some indicators (logistics movements, advisory deployments, clandestine support) and revise risk estimates upward. The Federation Council’s explicit judgment that preparations are ‘‘political theater’’ and the assessed low probability of renewed hostilities therefore runs counter to the hypothesis that Redland is quietly gearing up to assist Northland’s offensive."/>
    <n v="0.55000000000000004"/>
    <s v="The assessment is directly relevant to the hypothesis but is itself an expert judgment rather than hard intelligence; that reduces certainty. Because the evidence is specific to the hypothesis (an explicit probability judgment), it nevertheless provides moderate weight against the hypothesis, producing an intermediate confidence level."/>
    <s v="Yes"/>
    <s v="Yes"/>
    <s v="No"/>
    <s v="Military preparations that are assessed not to be preparations for war (and therefore assumed to be defensive) would align with this hypothesis. It is plausible Redland would be increasing readiness in case Blueland lashed out militarily against Redland if Northland initiated hostilities."/>
    <m/>
  </r>
  <r>
    <s v="1D257D76-71A5-4A98-863D-FBF5B52D10B5"/>
    <n v="8302"/>
    <n v="1"/>
    <s v="Economic"/>
    <x v="1"/>
    <s v="Redland’s President categorically rejected Federation recommendations for direct negotiations with Blueland."/>
    <s v="Within 3–6 months, reporting will indicate Redland pursuing new financing and supplier relationships—investment liberalization, credit/debt deals, commodity pre‑sales, infrastructure concessions or financial reforms—to diversify dependencies, attract Western capital where possible, and strengthen bargaining leverage absent major combat."/>
    <x v="3"/>
    <s v="A policy shift toward Western financing and away from the Federation would plausibly include seeking greater diplomatic autonomy. The President’s explicit refusal of a Federation-mediated negotiation track is a likely manifestation of such autonomy, so the evidence aligns with the hypothesis without contradicting it."/>
    <n v="0.55000000000000004"/>
    <s v="The connection is indirect: the evidence documents a diplomatic stance (rejection of Federation mediation), while the hypothesis centers on financing and economic alignment. That makes the match plausible but not strongly specific or causal, yielding moderate confidence."/>
    <s v="Yes"/>
    <s v="Yes"/>
    <s v="No"/>
    <s v="Not really connected here."/>
    <m/>
  </r>
  <r>
    <s v="2060CCD3-E843-486B-9A62-9F87D03E7260"/>
    <n v="5297"/>
    <n v="8"/>
    <s v="Military"/>
    <x v="1"/>
    <s v="Assessment: Redland’s current strategy focuses on moral, political, and economic pressure rather than military force; it is adopting an 'intrinsic power' policy and opening to Western capital."/>
    <s v="Within the next 3–6 months, Redland refrains from initiating hostilities and focuses on strengthening a layered defensive posture—air‑defense repositioning, readiness surges, dispersal and deception measures, and large exercises—to deter Blueland while preserving forces for future options. Observable indicators: redeployment of air‑defense assets, major drills, force dispersal, heightened readiness orders."/>
    <x v="3"/>
    <s v="The evidence—an expert assessment that the president emphasizes moral, political, and economic pressure over military force—aligns with the hypothesis's core claim that Redland will refrain from offensive military action and focus on non-military levers. While the evidence does not explicitly state that Redland is increasing defensive capabilities (air defenses, readiness), prioritizing non-offensive measures is compatible with a strategy that simultaneously shores up defenses without initiating attacks. Therefore the evidence is consistent with the hypothesis but not fully confirmatory."/>
    <n v="0.55000000000000004"/>
    <s v="Moderate confidence because the source is a qualitative expert assessment expressing leadership intent rather than verifiable data on defensive force posture or air-defense activity. A single, indirect statement supports the hypothesis's non-offensive element but lacks concrete corroboration of force posture changes, limiting overall confidence."/>
    <s v="Yes"/>
    <s v="Yes"/>
    <s v="No"/>
    <s v="This could be interpreted as either consistent or inconsistent "/>
    <m/>
  </r>
  <r>
    <s v="23D457F6-22F0-48C4-AA5D-694929CA502F"/>
    <n v="3519"/>
    <n v="10"/>
    <s v="Diplomatic"/>
    <x v="2"/>
    <s v="Union diplomats conveyed mixed messages about Redland’s likelihood of military action."/>
    <s v="Within 3–6 months, Redland reduces reliance on the Union and courts new regional and international partners for political backing and arms access; observable by new diplomatic visits, defense cooperation agreements, diversified arms procurement signals, and messaging inviting broader engagement."/>
    <x v="3"/>
    <s v="The evidence is an attribution from Union diplomats about Redland's intentions; it does not provide direct indicators that Redland is seeking alternative partners or otherwise rebalancing its alliances. Without observable actions or statements from Redland showing outreach, procurement, treaty activity, or explicit policy shifts away from the Union, the evidence is tangential and neither supports nor refutes the hypothesis."/>
    <n v="0.55000000000000004"/>
    <s v="The source content is specific and verifiable (statements by Union diplomats), so its nature is clear. However, its relevance to the hypothesis is indirect, producing moderate confidence in a neutral assessment rather than high confidence."/>
    <s v="Yes"/>
    <s v="Yes"/>
    <s v="No"/>
    <s v="Hypothesis is mostly discussing a pivot away from Union patronage, which appears unrelated to the Union's mixed messaging on Redland's intent"/>
    <m/>
  </r>
  <r>
    <s v="246C42DB-3A4E-4832-806F-9BAAEB80F28A"/>
    <n v="5178"/>
    <n v="6"/>
    <s v="Military"/>
    <x v="1"/>
    <s v="The same Federation Council memo assessed the probability of Redland renewing hostilities was low because the President understood consequences and preferred bolstering his political position rather than using force."/>
    <s v="Within 3–6 months, Redland will refrain from initiating hostilities and prioritize deterrence—expanding integrated air defenses, increasing air force readiness and dispersal, hardening bases/C2, and conducting large defensive exercises—to raise the costs of Blueland escalation."/>
    <x v="0"/>
    <s v="If Redland is truly opting for a defensive‑deterrent posture that avoids initiating hostilities, outside intelligence assessments would be expected to judge the likelihood of renewed aggression as low. The Federation Council memo explicitly states that the President prefers political gain over force, which aligns with and supports the hypothesis. Because the memo is an analytic judgment rather than direct behavioral evidence, it supports the hypothesis but does not prove it, so the match is solid but not conclusive."/>
    <n v="0.55000000000000004"/>
    <s v="The evidence is a single expert analytic assessment directly addressing Redland leadership intent, giving it moderate probative value. However, as it is second‑hand (an intelligence memo, not observed actions) and not corroborated by independent behavioral indicators, there remains meaningful uncertainty, so confidence is slightly above medium rather than high."/>
    <s v="Yes"/>
    <s v="Yes"/>
    <s v="No"/>
    <m/>
    <m/>
  </r>
  <r>
    <s v="2D29EECC-370E-40DB-BA1F-1B6767E1DAEF"/>
    <n v="918"/>
    <n v="2"/>
    <s v="Military"/>
    <x v="1"/>
    <s v="A third party leader warned that a frontal attack across the border zone would be suicidal for Redland."/>
    <s v="Within 3–6 months, Redland will launch a deliberate combined‑arms ground offensive, supported by concentrated air operations and an expanded air‑defense umbrella, with the objective of seizing and holding terrain in the Border Zone."/>
    <x v="1"/>
    <s v="If Redland were contemplating a major combined-arms frontal offensive, it is plausible that outside leaders would publicly warn against such an action using strong language (e.g., calling it &quot;suicidal&quot;). The statement does not contradict the hypothesis and fits a scenario where an attack is being considered, but it does not provide direct corroborating detail (logistics, forces, orders) that would make it strong evidence. Therefore the evidence is compatible with, but not strongly confirmatory of, the hypothesis."/>
    <n v="0.45"/>
    <s v="The evidence is a single attributed public remark with relatively high general relevance but low technical specificity. Because it could equally reflect deterrence rhetoric, political signaling, or true awareness of plans, confidence in linking this remark to actual intent is moderate-to-low."/>
    <s v="Yes"/>
    <s v="Yes"/>
    <s v="No"/>
    <s v="Weak, but inconsistent. A third party officials assessment could have very little influence over Redland's calculus."/>
    <m/>
  </r>
  <r>
    <s v="2D5288E8-95C6-4A26-970B-FA1297C3F982"/>
    <n v="8245"/>
    <n v="7"/>
    <s v="Military"/>
    <x v="1"/>
    <s v="A July 2025 intelligence assessment judged Blueland unlikely to replicate its prior 30-to-1 air kill ratio due to improved Redland air defenses."/>
    <s v="Within 3–6 months, Redland will initiate a sustained combined-arms campaign to seize territory in the Border Zone characterized by coordinated air operations (including SEAD/deep strikes), massed armored and mechanized maneuver, and sustained logistics support; observable indicators include large-scale mobilization orders, convoys of armor/infantry moving to forward staging areas, high-intensity air strikes over the border, degradation of enemy front-line positions, and continuous resupply flows."/>
    <x v="0"/>
    <s v="If Redland intends to launch a major combined-arms offensive, it would seek to reduce Blueland’s historical air dominance. An assessment that upgraded Redland air defenses would likely prevent a repeat of Blueland’s 30-to-1 kill ratio aligns with that prerequisite. The evidence supports a condition that would enable offensive operations but does not directly demonstrate offensive intent or preparations, so it is consistent but not strongly confirmatory."/>
    <n v="0.55000000000000004"/>
    <s v="The judgment relies on a single expert assessment about air-defense effectiveness. While moderately specific and relevant to enabling an offensive, it lacks corroborating indicators of offensive intent (e.g., mobilization, logistics, command directives). Therefore confidence in the consistency judgment is moderate."/>
    <s v="Yes"/>
    <s v="Yes"/>
    <s v="No"/>
    <m/>
    <m/>
  </r>
  <r>
    <s v="2FDB2D98-B531-43AA-9A48-460FC5BDD9CC"/>
    <n v="2392"/>
    <n v="1"/>
    <s v="Military"/>
    <x v="2"/>
    <s v="A third-party leader warned Redland that a frontal attack across the Border Zone would be suicidal."/>
    <s v="Within 3–6 months, evidence will show Redland implementing war‑economy measures—emergency budgeting, defense‑industrial expansion, accelerated procurement financing, rationing/price controls and FX restrictions—demonstrating a sustained mobilization to preserve coercive capacity and enable future military options."/>
    <x v="1"/>
    <s v="The cited evidence is an attribution about battlefield risk, not an observation of internal fiscal or economic controls. War‑economy mobilization would be demonstrated by domestic policy actions (emergency budgets, rationing directives, procurement shifts). Because the evidence speaks to operational deterrence rather than to economic mobilization, it neither supports nor contradicts the hypothesis."/>
    <n v="0.35"/>
    <s v="The linkage between the leader's warning and the hypothesis is weak and circumstantial. There is insufficient, direct information about budgeting, procurement, or legal measures to raise confidence; therefore the neutrality judgment is made with low–moderate confidence."/>
    <s v="Yes"/>
    <s v="Yes"/>
    <s v="No"/>
    <s v="A third party official's blunt assessment would likely have a negative influence on any plans of implementing a war-economy footing."/>
    <m/>
  </r>
  <r>
    <s v="32740BD2-5D9D-439A-B0B6-84BCFFBED5FD"/>
    <n v="4396"/>
    <n v="7"/>
    <s v="Economic"/>
    <x v="2"/>
    <s v="In late June 2025, Redland SAM crews engaged Blueland aircraft but failed to achieve hits."/>
    <s v="Within 3–6 months, Redland will employ energy and other commodity measures (production cuts, embargoes, preferential supply deals, or organized boycotts) to raise external economic costs on Blueland and the Federation and compel diplomatic engagement; observable indicators include announced or implemented supply reductions, rerouting of exports, sudden changes to trade contracts, public coordination with buyers/suppliers, and messaging linking supply adjustments to political demands."/>
    <x v="0"/>
    <s v="If Redland intends to wield energy and commodity measures as its primary tool of pressure, we would not specifically anticipate or need to observe a one-off SAM engagement with Blueland aircraft; that military incident neither supports nor contradicts an economic-coercion strategy. The evidence concerns tactical air-defense effectiveness, not trade cuts, rerouted exports, or embargo rhetoric that the hypothesis predicts."/>
    <n v="0.35"/>
    <s v="The evidence is narrowly focused on a single military incident with no discernible linkage to commodity policy. Because the domains (air-defense activity vs. energy leverage) are distinct, the assessment that the evidence is neutral carries moderate confidence but not high certainty."/>
    <s v="Yes"/>
    <s v="Yes"/>
    <s v="No"/>
    <s v="A seemingly inferior military capability would be consistent with a pivot to other COAs. However, the evidence is weak and shouldn't be an indicator of Egypt's overall military capabilities."/>
    <s v="Probably a better rationale and score than mine"/>
  </r>
  <r>
    <s v="33A371FB-C8B1-4235-8F93-0669484C6E84"/>
    <n v="253"/>
    <n v="4"/>
    <s v="Information"/>
    <x v="1"/>
    <s v="Diplomatic reporting showed mixed messaging: some diplomats warned Redland’s president is serious about military action while others said he is unlikely to resume hostilities."/>
    <s v="Over the next 3–6 months, Redland emphasizes narratives blaming external actors for economic hardship and highlights readiness/civil defense to maintain regime legitimacy without committing to near‑term combat; observables: state media themes, civil defense campaigns, mobilization of reserves for domestic roles, and stepped‑up repression of dissent."/>
    <x v="1"/>
    <s v="If Domestic-Legitimacy Messaging were true, we would expect Redland to project toughness and readiness publicly while privately signaling restraint, thereby preserving regime credibility without actually committing to war. The cited mixed diplomatic messaging—warning some partners of imminent action while reassuring others that hostilities are unlikely—fits this pattern of ambiguity and threat inflation intended to manage perceptions, and it does not contradict a strategy centered on internal legitimacy without near-term combat."/>
    <n v="0.55000000000000004"/>
    <s v="The evidence is concrete and clearly describes contradictory diplomatic statements, which align plausibly with the hypothesized ambiguity strategy, yet the link is indirect because the hypothesis focuses on domestic narratives while the evidence concerns foreign diplomacy; thus confidence is moderate."/>
    <s v="Yes"/>
    <s v="Yes"/>
    <s v="No"/>
    <m/>
    <m/>
  </r>
  <r>
    <s v="35C69D92-A0F5-487B-9A58-3CA3CE58D572"/>
    <n v="2063"/>
    <n v="1"/>
    <s v="Diplomatic"/>
    <x v="3"/>
    <s v="Redland adopted a policy of intrinsic power and sought to open the door to Western capital while moving away from socialist dependence."/>
    <s v="Within 3–6 months, reporting will show Redland reducing cooperative ties with the Union and expanding political, economic and security engagement with non‑Union partners to secure alternative backing and resources for its Border Zone posture, accepting increased diplomatic friction with the Union."/>
    <x v="2"/>
    <s v="The evidence directly declares Redland’s intention to confront adversaries without relying on the Union and to seek Western capital, which is exactly the predicted behavior under the hypothesis of rebalancing alliances away from the Union. There is a close, unambiguous match between the hypothesis and the quoted policy language, with no contradictory elements present in the provided snippet."/>
    <n v="0.85"/>
    <s v="High confidence because the quoted language explicitly references reduced reliance on the Union and courting non-Union partners, giving specific and relevant support. Some residual uncertainty remains because a single stated intent may not translate into long-term policy change or executed behavior; corroborating actions or multiple sources would raise confidence further."/>
    <s v="Yes"/>
    <s v="Yes"/>
    <s v="No"/>
    <m/>
    <m/>
  </r>
  <r>
    <s v="380FF467-0D74-4DCB-BF97-2B660947B57D"/>
    <n v="1472"/>
    <n v="7"/>
    <s v="Diplomatic"/>
    <x v="1"/>
    <s v="Redland is adopting a policy of intrinsic power and attempting to open to Western capital to confront Federation/Blueland without relying on the Union."/>
    <s v="Within 3–6 months, Redland will adopt an escalatory diplomatic posture intended to precipitate international intervention—issuing ultimatums, publicly setting deadlines, and intensifying threat signaling—while preserving deniability and space for last-minute off-ramps; observable indicators include formal ultimatums with deadlines, accelerated public threats, amplified appeals to external powers to intervene, and parallel backchannel signals offering diplomatic exits."/>
    <x v="0"/>
    <s v="A move toward an 'intrinsic power' posture that decreases reliance on the Union and opens space for Western investment fits with behavior intended to broaden potential external leverage. While the evidence does not directly record the gameplay elements of escalatory coercive diplomacy (ultimatums, explicit threats, deadlines), it plausibly supports the preparatory conditions needed for that approach rather than contradicting it."/>
    <n v="0.55000000000000004"/>
    <s v="The underlying fact about realignment is specific and clear, so linkage to the hypothesis is plausible. However, because the evidence is indirect (it shows enabling steps rather than the coercive-diplomacy actions themselves), the confidence is moderate rather than high."/>
    <s v="Yes"/>
    <s v="Yes"/>
    <s v="No"/>
    <m/>
    <m/>
  </r>
  <r>
    <s v="3A3068E3-29A5-4674-B189-8F59279FA3E8"/>
    <n v="4766"/>
    <n v="8"/>
    <s v="Information"/>
    <x v="0"/>
    <s v="Redland received additional combat aircraft transfers from an allied third party country in April 2025."/>
    <s v="Within the next 3–6 months, Redland runs a calibrated de‑escalatory information strategy paired with cyber defensive hardening to create diplomatic space for an externally brokered settlement framework on the Border Zone. Observable indicators: public de‑escalatory messaging, hardened domestic cyber defenses, engagement in mediated settlement talks."/>
    <x v="1"/>
    <s v="A substantial transfer of 46 frontline combat aircraft is a concrete capability increase that raises the perceived military temperature. That behavior is more characteristic of escalation or coercive leverage than of a calibrated de‑escalatory information strategy intended to open space for talks. Therefore the evidence runs counter to the hypothesis."/>
    <n v="0.55000000000000004"/>
    <s v="The underlying factual claim about the aircraft transfer is clear and verifiable, giving strong support to the inconsistency judgment. However, states sometimes combine capability enhancements with diplomatic de‑escalation or use force improvements as bargaining leverage while signaling openness to talks, so there is residual ambiguity—hence moderate confidence rather than very high."/>
    <s v="Yes"/>
    <s v="Yes"/>
    <s v="No"/>
    <s v="Plussing up military equipment and capabilities runs contrary to promoting a de-escalatory strategy."/>
    <m/>
  </r>
  <r>
    <s v="3A9BCC88-2139-4CEC-A838-37CB63E955EC"/>
    <n v="1911"/>
    <n v="1"/>
    <s v="Economic"/>
    <x v="2"/>
    <s v="Redland employed extensive deception with 206 dummy SAM sites compared to roughly 124 occupied operational sites."/>
    <s v="Within 3–6 months, reporting will show Redland offering calibrated economic inducements—phased normalization, reconstruction or compensation packages, commercial concessions, transit/trade openings or revenue‑sharing—to third parties and Blueland interlocutors to attract mediation and create a negotiated pathway aligned with Redland’s red lines."/>
    <x v="3"/>
    <s v="The reported placement of 206 dummy air‑defense decoys is a military deception measure. It does not provide evidence for economic inducements (trade, reconstruction funds, revenue‑sharing) nor does it contradict the possibility that such inducements could be offered separately. Because the domains (military deception vs. economic/diplomatic offers) do not overlap in a way that supports or falsifies the hypothesis, the appropriate assessment is Neutral."/>
    <n v="0.55000000000000004"/>
    <s v="The factual evidence is specific and verifiable, giving moderate confidence in its interpretation as a military deception. However, absence of evidence for economic inducements in this single item does not strongly rule out concurrent political/economic efforts, hence only moderate confidence in the Neutral rating."/>
    <s v="Yes"/>
    <s v="Yes"/>
    <s v="No"/>
    <s v="Not connected"/>
    <m/>
  </r>
  <r>
    <s v="3E321503-2F8E-4FB6-82CC-8CAD474DADE2"/>
    <n v="4677"/>
    <n v="7"/>
    <s v="Information"/>
    <x v="1"/>
    <s v="An intelligence memorandum stated the Union is not concerned with recovering lost Redland lands and refuses to risk confrontation with the Federation, diverging from Redland’s interests."/>
    <s v="Within 3–6 months, Redland will mount an information-centric coercion campaign—public threats, controlled leaks, amplified messaging of imminent action—paired with cyber-enabled signaling (selective exposure of readiness indicators and deliberate ambiguity) to pressure Blueland and the Federation while avoiding major combat; observable indicators include synchronized media narratives, selective release of purported readiness assessments, targeted cyber disclosures of military status, and increased information operations activity."/>
    <x v="3"/>
    <s v="The evidence that the Union is unwilling to risk direct confrontation is logically compatible with Redland choosing an information-centric coercion strategy instead of provoking a military clash. The memorandum provides an enabling condition for such a strategy but does not itself document information operations, so the evidence supports rather than confirms the hypothesis."/>
    <n v="0.55000000000000004"/>
    <s v="Confidence is moderate because the source establishes a plausible motive for non-kinetic coercion (lack of Union backing) but does not provide direct evidence that Redland is employing or planning information-centric coercion. The link is inferential rather than demonstrated."/>
    <s v="Yes"/>
    <s v="Yes"/>
    <s v="No"/>
    <s v="Although it could be considered a blow to Redland's ambitions, the evidence doesn't alone indicate any change in calculus for Redland."/>
    <m/>
  </r>
  <r>
    <s v="44F6F9A6-D744-4E49-8AE7-A80969E6A035"/>
    <n v="5554"/>
    <n v="7"/>
    <s v="Military"/>
    <x v="1"/>
    <s v="As of May 2025, Redland’s President prioritized acquiring additional aircraft and expanding pilot training to reach an appropriate preparedness level."/>
    <s v="Within 3–6 months, Redland will prioritize a defensive military posture in the Border Zone focused on strengthening integrated air defenses, dispersing and fortifying critical air assets, raising readiness, and employing deception while avoiding major offensive ground or air operations; observable indicators include increased SAM and air-defense deployments, force dispersal orders and entrenchment of airfields, routine defensive live-fire drills, visible logistical stockpiling, and no sustained combined-arms offensives."/>
    <x v="0"/>
    <s v="Investing in more aircraft and expanded pilot training strengthens overall force readiness and air-defense depth without, by itself, indicating an imminent offensive timetable. Such investments are consistent with a leadership aim to consolidate defenses and maintain a credible deterrent. Because the measures described are dual-use, they do not uniquely prove a defensive-only intent but align plausibly with it."/>
    <n v="0.55000000000000004"/>
    <s v="The evidence is specific and directly related to force-readiness improvements, lending moderate support for the defensive-consolidation hypothesis. However, the same procurement and training actions could also be preparatory for offensive operations; the evidence lacks clear statements of intent or deployment choices that would distinguish defensive consolidation from offensive buildup, so confidence remains moderate rather than high."/>
    <s v="Yes"/>
    <s v="Yes"/>
    <s v="No"/>
    <s v="Consistent"/>
    <m/>
  </r>
  <r>
    <s v="49FAC00C-FA12-4A76-9C65-4016ACED3C9A"/>
    <n v="2171"/>
    <n v="2"/>
    <s v="Information"/>
    <x v="0"/>
    <s v="It was assessed these aircraft could complicate Blueland defense if Redland and Northland launch a coordinated strike."/>
    <s v="Within 3–6 months, Redland will emphasize defensive strategic communications (civil defense messaging, threat framing, coordinated alliance messaging) to justify Border Zone militarization, build domestic and international legitimacy, and reduce incentives for adversary escalation while avoiding rhetoric that commits it to initiating war."/>
    <x v="0"/>
    <s v="If Redland were primarily focused on projecting a defensive narrative and avoiding any commitment to initiate war, we would expect its new capabilities to be framed or optimized for homeland protection rather than for facilitating an offensive “co‑ordinated strike” with Northland. The evidence that the transferred aircraft are specifically assessed as complicating Blueland’s defenses in the event of a joint Redland–Northland attack suggests an offensive utility that sits at odds with a strategy aimed at lowering escalation risks and preserving a purely defensive posture."/>
    <n v="0.55000000000000004"/>
    <s v="The evidence explicitly links the new aircraft to an offensive contingency, providing a concrete reason to doubt a solely defensive intent; however, it is an outside expert assessment rather than a statement of Redland’s own messaging, so some ambiguity remains about the state's actual intent and framing."/>
    <s v="Yes"/>
    <s v="Yes"/>
    <s v="No"/>
    <s v="Adding additional military aircraft that could complicate Blueland's defense aligns with Redland's strategic communications strategy."/>
    <m/>
  </r>
  <r>
    <s v="4C4B8624-BE41-4E03-8D38-043C0AABD26B"/>
    <n v="184"/>
    <n v="3"/>
    <s v="Military"/>
    <x v="1"/>
    <s v="Reporting on the 19–25 September assault window mentioned only Northland units; other third-party contributions also did not materialize."/>
    <s v="Within 3–6 months, Redland conducts a short-duration air-and-missile campaign against selected Blueland military targets supporting the Border Zone—observable via increased missile/air launches, strike damage visible in satellite imagery, battle-damage assessments, and absence of a concurrent large-scale ground invasion—intended to impose costs while avoiding occupation."/>
    <x v="1"/>
    <s v="An air-and-missile punitive strike would not require Redland ground units to be present in public reporting about an assault window. Therefore the observed absence of Redland ground formations in the 19–25 September reports does not contradict the hypothesis and is consistent with an air-only COA. However, the evidence is indirect: lack of mention does not prove absence, and reporting choices or deception could explain the pattern."/>
    <n v="0.55000000000000004"/>
    <s v="Moderate confidence because the evidence is relevant but tangential. The observation supports consistency but is not definitive—reporting limitations, timing differences, or concealment could change the interpretation."/>
    <s v="Yes"/>
    <s v="Yes"/>
    <s v="No"/>
    <s v="Evidence points to only a northland offensive."/>
    <m/>
  </r>
  <r>
    <s v="4C8A96CD-B9CA-4725-944D-A00929BAC760"/>
    <n v="5315"/>
    <n v="6"/>
    <s v="Economic"/>
    <x v="2"/>
    <s v="Approximately 30 Su-30 and 16 MIG-29 aircraft from an allied third party country were transferred to Redland in April 2025."/>
    <s v="Within 3–6 months, Redland will signal or coordinate energy supply reductions, embargo threats, or output coordination with sympathetic producers—announcing export cuts, negotiating producer alignments, or manipulating volumes/pricing—to raise economic and political costs for the Federation and Blueland."/>
    <x v="0"/>
    <s v="The aircraft transfer is a factual military action that neither supports nor undermines the hypothesis that Redland will primarily use energy supplies for coercion. The domains (conventional military reinforcement versus energy-export coercion) are distinct, so the evidence is not relevant enough to change the hypothesis’ likelihood."/>
    <n v="0.6"/>
    <s v="The underlying report is a verifiable fact, so confidence in the evidence itself is moderate-high. However, its relevance to the energy-coercion hypothesis is indirect; therefore overall confidence in the neutrality assessment is moderate."/>
    <s v="Yes"/>
    <s v="Yes"/>
    <s v="No"/>
    <s v="Although not explicitly connected, targeting energy supplies could be very escalatory, in which case preempting any military response with additional air assets would be consistent with this hypothesis."/>
    <m/>
  </r>
  <r>
    <s v="52F8135B-742C-4FE9-92BD-F81BBCCBEDA4"/>
    <n v="8183"/>
    <n v="3"/>
    <s v="Military"/>
    <x v="0"/>
    <s v="An assessment stated Redland President’s current strategy emphasizes moral/political/economic pressure rather than military force."/>
    <s v="Within 3–6 months, Redland conducts escalatory but sub-war pressure—reconnaissance, demonstrations, border probes, raids, and selective fires—observable via increased border incidents, short-duration clashes, limited temporary gains quickly withdrawn, and heightened patrol activity—aimed at coercing Blueland and shaping conditions for later operations without prolonged occupation."/>
    <x v="4"/>
    <s v="The evidence is an authoritative assessment that the president’s strategy prioritizes non‑military measures. That emphasis is logically inconsistent with the hypothesis that Redland is preparing overt escalatory sub‑threshold military probes or raids; absent additional evidence of deliberate deception, the assessment reduces the likelihood of such military action being a central planned instrument."/>
    <n v="0.65"/>
    <s v="The source is an expert assessment directly addressing strategic intent, giving it substantial relevance. However, it could reflect public messaging, intentional deception, or be outdated—factors that prevent full certainty—so confidence is moderate rather than high."/>
    <s v="Yes"/>
    <s v="Yes"/>
    <s v="No"/>
    <s v="Military activity is explicitly not an option in this hypothesis."/>
    <m/>
  </r>
  <r>
    <s v="5406679D-DB4F-4000-B05A-4DE9D0B11232"/>
    <n v="2660"/>
    <n v="2"/>
    <s v="Diplomatic"/>
    <x v="3"/>
    <s v="Mirage fighters were identified as the only Redland aircraft capable (low-altitude radius) of penetrating Blueland defenses to strike Blueland."/>
    <s v="Within 3–6 months, Redland will reduce reliance on the Union and expand partnerships with non‑Union states to gain political backing, economic relief, and arms‑related cooperation, strengthening its negotiating position regarding the Border Zone."/>
    <x v="3"/>
    <s v="If Redland is deliberately shifting away from dependence on the Union and courting new partners for weapons and political leverage, we would expect to see concrete evidence of arms transfers from non-Union sources. The in-country deployment of Mirage fighters—aircraft not produced by the Union and singled out as uniquely useful for Redland’s military needs—fits exactly that expectation and signals active defense cooperation with alternative suppliers."/>
    <n v="0.65"/>
    <s v="The aircraft type strongly implies a Western (non-Union) origin, aligning well with the hypothesized diversification strategy, but the text does not explicitly name the provider, leaving some uncertainty about whether the Union could still be indirectly involved."/>
    <s v="Yes"/>
    <s v="Yes"/>
    <s v="No"/>
    <m/>
    <s v="The LLM correctly used additional context in its assessment, which I did not recognize or remember from the context. If I had remembered it, my score might have changed to closely align with the LLM."/>
  </r>
  <r>
    <s v="54653A72-8077-4071-AD13-B0B1AAC4A7C9"/>
    <n v="5850"/>
    <n v="7"/>
    <s v="Economic"/>
    <x v="2"/>
    <s v="A July 2025 intelligence assessment judged Blueland unlikely to replicate its prior 30-to-1 air kill ratio due to improved Redland air defenses."/>
    <s v="Within 3–6 months, Redland will impose targeted economic measures on Blueland—tightening border trade, denying transit, freezing assets, cancelling contracts, or pressuring firms connected to Blueland—to degrade Blueland’s economic position and compel concessions without kinetic escalation; observable indicators include new trade restrictions, announced asset freezes, blocked transit corridors, public lists of targeted companies, and reductions in bilateral commercial activity."/>
    <x v="3"/>
    <s v="If Redland applies targeted economic coercion rather than kinetic action, we would not specifically expect an intelligence estimate about future air-to-air loss ratios; such a judgment concerns relative air power, not trade or financial levers. The evidence neither supports nor contradicts the notion that Redland will rely on economic measures, so it carries no logical weight for or against the hypothesis."/>
    <n v="0.28999999999999998"/>
    <s v="The evidence is only tangentially related to the hypothesis and offers no clear linkage, positive or negative, hence confidence in the neutrality rating is modest. Limited inferential steps are required, but the lack of direct relevance keeps certainty low."/>
    <s v="Yes"/>
    <s v="Yes"/>
    <s v="No"/>
    <s v="Not connected"/>
    <s v="Good confidence rationale"/>
  </r>
  <r>
    <s v="57C370A8-B05D-46FB-98E6-692CB5D218A3"/>
    <n v="3514"/>
    <n v="2"/>
    <s v="Military"/>
    <x v="1"/>
    <s v="Redland signaled willingness to separate the occupied region’s statehood issue from the broader conflict; by implication it is assumed Redland will not bargain for the occupied population in the current phase."/>
    <s v="Within 3–6 months, Redland will launch a deliberate combined‑arms ground offensive, supported by concentrated air operations and an expanded air‑defense umbrella, with the objective of seizing and holding terrain in the Border Zone."/>
    <x v="1"/>
    <s v="A public signal to defer political-status discussions is consistent with preparing a major offensive because it preserves operational freedom and avoids revealing final political aims. The evidence does not directly prove an imminent offensive but aligns with typical preparatory political messaging for such operations."/>
    <n v="0.34"/>
    <s v="The connection is inferential rather than based on operational indicators (forces, logistics, movements). The evidence is ambiguous and could also reflect genuine long-term diplomatic posture, so confidence in the linkage is limited."/>
    <s v="Yes"/>
    <s v="Yes"/>
    <s v="No"/>
    <s v="Evidence suggests a continued readiness with diplomacy, completely contradicting hypothesis."/>
    <m/>
  </r>
  <r>
    <s v="5DA4EDB4-97E2-4CDA-9F4D-4716DFB032DB"/>
    <n v="2432"/>
    <n v="7"/>
    <s v="Information"/>
    <x v="0"/>
    <s v="Redland’s President privately told a third-party intelligence chief in April 2025 that fighting must start within months to provoke international intervention."/>
    <s v="Within 3–6 months, Redland will prioritize regime stability by shaping internal narratives (civil defense publicity, scapegoating external actors) and applying cyber and law-enforcement measures (censorship, surveillance, disruption of opposition) to manage pressure for action on the Border Zone while avoiding interstate escalation; observable indicators include tightened media controls, coordinated government messaging, arrests or silencing of critics, increased internal security operations, and public consumption campaigns emphasizing external threats."/>
    <x v="1"/>
    <s v="A senior leader’s explicit private statement that hostilities should begin within a defined short timeframe to trigger foreign intervention indicates an intention to escalate rather than to avoid interstate conflict. That intent conflicts with the hypothesis that Redland seeks to prevent escalation and refrain from initiating open warfare."/>
    <n v="0.75"/>
    <s v="The evidence is a direct, attributed quote from the President reported by a senior aide, making it a highly relevant indicator. Confidence is tempered by potential uncertainties about the source’s reliability, context, and whether the stated intent has been or will be acted upon."/>
    <s v="Yes"/>
    <s v="Yes"/>
    <s v="No"/>
    <s v="Hypothesis points to an internally focused and defensive posture and specifically avoids external conflict."/>
    <m/>
  </r>
  <r>
    <s v="642C1106-EC71-4F82-927A-D2B6D8E40BF5"/>
    <n v="6956"/>
    <n v="3"/>
    <s v="Military"/>
    <x v="0"/>
    <s v="Redland placed notable SA-6 deployments protecting the Capital Airfield area, but readiness and positioning varied March–May 2025."/>
    <s v="Within 3–6 months, Redland mounts a combined-arms ground offensive into the Border Zone to seize and occupy limited, militarily advantageous terrain (ridgelines, crossings, buffer areas)—observable via troop crossings, sustained presence at seized positions, fortification construction, combat reports, and changes in control on ground imagery—intended to improve bargaining leverage."/>
    <x v="0"/>
    <s v="If Redland were truly preparing a near-term ground incursion into the Border Zone, we would expect its SA-6 batteries to be pushed forward and kept at a steady, elevated alert to shield staging areas, supply routes, and advancing troops. Instead, the evidence shows the systems tied to the Capital Airfield—well to the rear of the intended fight—and their positioning/readiness oscillating over two months, a pattern that suggests routine defense or signaling rather than the sustained, forward-leaning posture normally associated with imminent offensive operations."/>
    <n v="0.55000000000000004"/>
    <s v="The evidence is specific (location, system type, time-bounded fluctuations) and directly relevant to force posture, giving moderate grounding for judging inconsistency. However, air-defense employment can serve multiple purposes (strategic deception, conservation, logistical constraints), so alternative interpretations remain plausible, keeping confidence short of high."/>
    <s v="Yes"/>
    <s v="Yes"/>
    <s v="No"/>
    <s v="Depending on what assets are at the Capital airfield, repositioning SAM equipment could be a key indicator of preparations for an offensive operation."/>
    <m/>
  </r>
  <r>
    <s v="65F167C8-EA5D-4FDC-B4FF-A2147C669F51"/>
    <n v="5373"/>
    <n v="8"/>
    <s v="Information"/>
    <x v="2"/>
    <s v="Assessment: Northland unlikely to fight independently but might participate if Redland initiates first."/>
    <s v="Within the next 3–6 months, Redland runs a calibrated de‑escalatory information strategy paired with cyber defensive hardening to create diplomatic space for an externally brokered settlement framework on the Border Zone. Observable indicators: public de‑escalatory messaging, hardened domestic cyber defenses, engagement in mediated settlement talks."/>
    <x v="3"/>
    <s v="The assessment focuses on Northland’s expected behavior in a specific offensive scenario and does not address whether Redland is conducting de‑escalatory messaging or implementing cyber defenses to enable talks. Therefore the evidence neither supports nor contradicts the hypothesis about pursuing a calibrated de‑escalatory information strategy and cyber hardening."/>
    <n v="0.66"/>
    <s v="The cited statement is clear and specific, making mapping to the hypothesis straightforward; however, because the evidence is topically disconnected from information operations and cyber measures, there remains appreciable uncertainty about its relevance, yielding moderate confidence."/>
    <s v="Yes"/>
    <s v="Yes"/>
    <s v="No"/>
    <s v="The evidence is sort of hypothetical and not connected to the hypothesis."/>
    <m/>
  </r>
  <r>
    <s v="676F549E-2E33-4C13-8DB2-18D9D521A30D"/>
    <n v="846"/>
    <n v="2"/>
    <s v="Economic"/>
    <x v="1"/>
    <s v="Federation Council assessed Redland’s internal preparations were not practical steps toward war and that probability of renewed hostilities was low."/>
    <s v="Within 3–6 months, Redland will prioritize improving access to Western capital and markets (investment outreach, trade facilitation, financial policy adjustments) to reduce dependence on the Union, stabilize its economy, and strengthen bargaining leverage over the Border Zone."/>
    <x v="0"/>
    <s v="An assessment that Redland's drills are posturing rather than preparations for war aligns with the hypothesis that Redland is trying to avoid a new conflict while prioritizing economic ties with the West. The memo's judgment that hostilities are unlikely supports the idea that Redland's recent actions are signaling rather than genuine war-preparation, which is consistent with an economic/diplomatic pivot."/>
    <n v="0.65"/>
    <s v="The evidence is a credible expert interpretation that matches the hypothesis, but it is indirect: it interprets military behavior rather than documenting explicit policy shifts toward Western capital. That leaves moderate but not high confidence."/>
    <s v="Yes"/>
    <s v="Yes"/>
    <s v="No"/>
    <m/>
    <m/>
  </r>
  <r>
    <s v="6B8928AB-C217-43D2-B43E-FF636E3C7EF9"/>
    <n v="8417"/>
    <n v="9"/>
    <s v="Military"/>
    <x v="1"/>
    <s v="Redland relocated TU-160 bombers capable of carrying air-to-surface missiles to the Capital area in late March 2025, but there is no evidence missiles moved."/>
    <s v="Within 3-6 months, Redland will enable a Northland-led operation rather than lead an assault itself, observable through transfer or integration of air assets and air defenses, shared ISR and logistics support, presence of advisors and limited enabling ground elements, and coordinated operational timelines that expand Blueland’s defensive dilemma."/>
    <x v="0"/>
    <s v="Relocating long‑range strike platforms to the Capital area is the kind of preparatory action expected if Redland intended to enable joint operations with Northland. The lack of transported missile loads reduces evidence of an imminent strike but does not contradict the hypothesis that the move was to enable a future Northland‑led attack, since weapons and targeting support can be staged later or already be available locally."/>
    <n v="0.55000000000000004"/>
    <s v="Moderate confidence because the observed aircraft movements directly support the hypothesis, but key gaps remain: no confirmed transfer of missiles, no direct evidence of coordination with Northland, and limited temporal/contextual detail about timing and command integration."/>
    <s v="Yes"/>
    <s v="Yes"/>
    <s v="No"/>
    <m/>
    <m/>
  </r>
  <r>
    <s v="6E78346B-FEB2-47E6-894E-80BED03D952E"/>
    <n v="4273"/>
    <n v="10"/>
    <s v="Military"/>
    <x v="3"/>
    <s v="In March 2025, Redland redeployed a full regiment of SA-6 equipment and occupied four new SA-6 sites near the Border Zone."/>
    <s v="Within 3–6 months, Redland prioritizes fortification and readiness measures to deter Blueland—observable by emplacement of fortifications, expanded air-defense deployments, dispersal of key assets, heightened alert levels, large-scale exercises near the border, and increased mobilization messaging without offensive maneuvering."/>
    <x v="2"/>
    <s v="If Redland adopts a coercive defensive posture focused on deterrence by denial, we would expect it to thicken its air-defense umbrella along the threatened frontier. The redeployment of an entire SA-6 regiment and the occupation of four new SA-6 sites only 17 NM from the Border Zone provide exactly the kind of layered, denial-oriented coverage the hypothesis predicts. Nothing in the evidence suggests offensive maneuver forces or deep-strike preparations, so the activity aligns tightly with a deterrent fortification effort."/>
    <n v="0.7"/>
    <s v="The evidence is specific (unit type, quantity, location) and matches a key indicator named in the hypothesis (expanded air-defense deployments). While SAM moves can also be used to mask or protect offensive build-ups, the absence of offensive correlates in the available information supports reasonably high—but not absolute—confidence in the consistency judgment."/>
    <s v="Yes"/>
    <s v="Yes"/>
    <s v="No"/>
    <m/>
    <m/>
  </r>
  <r>
    <s v="72EF2417-906D-4CA8-A2EA-2DF271A350D0"/>
    <n v="1559"/>
    <n v="7"/>
    <s v="Military"/>
    <x v="0"/>
    <s v="Redland’s President said in May he felt pressure from the Union to pursue a peaceful solution."/>
    <s v="Within 3–6 months, Redland will initiate a sustained combined-arms campaign to seize territory in the Border Zone characterized by coordinated air operations (including SEAD/deep strikes), massed armored and mechanized maneuver, and sustained logistics support; observable indicators include large-scale mobilization orders, convoys of armor/infantry moving to forward staging areas, high-intensity air strikes over the border, degradation of enemy front-line positions, and continuous resupply flows."/>
    <x v="3"/>
    <s v="If Redland planned to launch a major combined-arms offensive within 3–6 months, leadership messaging would likely justify or normalize imminent use of force rather than highlight external actors pressing for a peaceful resolution. The President's public attribution of pressure to remain peaceful therefore argues against a near-term major offensive, making the hypothesis inconsistent with the cited evidence."/>
    <n v="0.6"/>
    <s v="The evidence is a direct, attributable public statement by the country's leader, which carries meaningful weight. Nonetheless, public rhetoric can be deceptive or intended as diplomatic cover, so there remains moderate uncertainty about the extent to which the statement constrains actual military preparations."/>
    <s v="Yes"/>
    <s v="Yes"/>
    <s v="No"/>
    <s v="Assuming Redland responds to Union pressure by deescalating, this would be inconsistent with the hypothesis. However, Redland/Union relationship was already cooling during this time period, it could have an opposite effect. Therefore, it could go both ways."/>
    <m/>
  </r>
  <r>
    <s v="74B0F127-6FBE-46E4-AD02-6C25020B2E52"/>
    <n v="3608"/>
    <n v="5"/>
    <s v="Diplomatic"/>
    <x v="1"/>
    <s v="In a 28 September speech, Redland’s President expressed “guarded optimism” about Federation action and said he intentionally avoided rhetoric about “the battle” with Blueland."/>
    <s v="In the next 3-6 months, Redland will use diplomacy primarily to shape conditions for renewed fighting (warnings/reassurance, deterring external intervention, securing tacit neutrality/support), with talks serving as a prelude or justification framework if negotiations stall. Observable indicators: diplomatic démarches seeking non-intervention guarantees, public warnings paired with discreet military preparations, talks timed immediately prior to or concurrent with military escalations."/>
    <x v="0"/>
    <s v="A conciliatory, non-warlike speech is what one would expect if diplomacy were being used as a cover for preparing renewed fighting: it reduces the likelihood of immediate countermeasures and international interference. The evidence neither directly confirms covert preparations nor rules out sincere de-escalation, so it supports the hypothesis without strongly proving it."/>
    <n v="0.55000000000000004"/>
    <s v="The evidence is reliable (a presidential speech) and relevant, but its interpretation is circumstantial. Similar language can indicate genuine intent to negotiate, so the connection to a deceptive preparatory strategy is plausible but not definitive, yielding slightly above-even confidence."/>
    <s v="Yes"/>
    <s v="Yes"/>
    <s v="No"/>
    <s v="Signaling like this is consistent with this hypothesis."/>
    <m/>
  </r>
  <r>
    <s v="776D1B36-6F8C-495B-A125-B02A57A18A10"/>
    <n v="5824"/>
    <n v="2"/>
    <s v="Diplomatic"/>
    <x v="1"/>
    <s v="Assessment: Blueland likely cannot replicate prior 30-to-1 kill ratio due to improved Redland air defenses."/>
    <s v="Within 3–6 months, Redland will judge diplomacy insufficient and either initiate renewed hostilities or sponsor Northland‑led attacks, while conducting parallel diplomacy to manage escalation, shape narratives, and seek favorable imposed terms."/>
    <x v="0"/>
    <s v="If a future in which Redland intends to initiate or back hostilities were true, we would expect the regime to pursue measures that improve its expected combat performance and to see outside analysts noting those improvements. An expert assessment that Blueland can no longer count on a 30-to-1 air-combat advantage fits that expectation because stronger Redland air defenses would reduce perceived risk and make an attack decision more tenable. The finding does not, however, uniquely flow from an offensive intent—better defenses could also serve pure deterrence—so the evidence is supportive but not strongly predictive."/>
    <n v="0.35"/>
    <s v="The evidence is a single analytic judgment, not hard data on specific deployments, and could be compatible with multiple strategic postures. While its logical alignment with a war-starting hypothesis is clear, the lack of exclusivity or quantitative detail lowers confidence in how firmly it underpins the consistency judgment."/>
    <s v="Yes"/>
    <s v="Yes"/>
    <s v="No"/>
    <m/>
    <m/>
  </r>
  <r>
    <s v="7E50598E-3173-4C4B-A087-2DBEA84CEF9C"/>
    <n v="1551"/>
    <n v="1"/>
    <s v="Military"/>
    <x v="1"/>
    <s v="Intelligence assessed Northland was unlikely to renew fighting independently but might join later if Redland initiated first."/>
    <s v="Within 3–6 months, intelligence reporting will show Redland avoiding major offensive operations in the Border Zone while undertaking observable force‑preservation measures—air/air‑defense posture adjustments, dispersal of forces, increased readiness drills, deception measures, and localized fortification—consistent with deterrence rather than offensive intent."/>
    <x v="1"/>
    <s v="If Redland were pursuing a sustained defensive posture, analysts would plausibly judge that allied offensives hinge on Redland initiating combat. The expert assessment's statement that offensives are contingent on Redland attacking aligns with (does not contradict) the hypothesis, but it is indirect and limited as confirming evidence."/>
    <n v="0.55000000000000004"/>
    <s v="The evaluation is based on a single expert assessment that links conceptually to the hypothesis but does not present direct, verifiable indicators of force posture or intent. That yields moderate confidence in the consistency judgment rather than high certainty."/>
    <s v="Yes"/>
    <s v="Yes"/>
    <s v="No"/>
    <s v="Assuming a deterrence posture holds, this is inconsistent."/>
    <m/>
  </r>
  <r>
    <s v="7E818182-471D-420D-B04B-FDFF88900342"/>
    <n v="8368"/>
    <n v="4"/>
    <s v="Information"/>
    <x v="1"/>
    <s v="Redland moved TU-160 bombers to the Capital area in late March 2025, but there is no evidence associated air-to-surface missiles were moved."/>
    <s v="Over the next 3–6 months, Redland conducts denial‑and‑deception operations (decoys, false indicators, controlled leaks) to conceal intent and timing, preserving the option of a short‑notice offensive or coordinated action with partners; observables: mismatches between declared exercises and actual movements, false logistical footprints, and sudden rapid re‑posturing."/>
    <x v="0"/>
    <s v="If Denial And Deception Measures To Preserve Surprise For Short-Notice Action were true, we would expect to see force elements repositioned in ways that create an ambiguous operational picture—e.g., major platforms moved without their combat ordnance, masking true readiness and intent. Shifting TU-160 bombers to the Capital while leaving the air-to-surface missiles behind fits such a pattern: it signals capability while minimizing the immediate strike signature, thereby reducing adversary alarm and preserving flexibility for a late, rapid missile upload."/>
    <n v="0.55000000000000004"/>
    <s v="The evidence is a concrete, verifiable movement of a high-value asset that directly touches on readiness signaling, giving a reasonable basis for linking it to deception activity. However, the absence of corroborating details about declared exercises, false narratives, or subsequent rapid missile shipments limits certainty; thus confidence is moderate rather than high."/>
    <s v="Yes"/>
    <s v="Yes"/>
    <s v="No"/>
    <s v="Movement of bomber assets would be indicative of possible military planning or intent, but it is a fairly weak association."/>
    <m/>
  </r>
  <r>
    <s v="7F87BCC9-AF21-4D9A-8DC5-3A88BFE229E3"/>
    <n v="1986"/>
    <n v="6"/>
    <s v="Information"/>
    <x v="1"/>
    <s v="Redland acknowledged Union support is the only viable option for establishing a 'credible military posture against Blueland' and grudgingly adjusted to restrictions."/>
    <s v="Within 3–6 months, Redland will undertake cyber operations—targeting Blueland command‑and‑control, logistics, transportation, power/communications, and key government systems—accompanied by supporting information activity to covertly degrade readiness and public trust without overt kinetic hostilities."/>
    <x v="0"/>
    <s v="Dependence on Union support and recognition of constraints are consistent with incentives to seek alternative tools that require less overt conventional force (e.g., covert cyber and information operations). The evidence does not explicitly state intent or capabilities for cyber activity, so it supports the hypothesis indirectly rather than confirming it directly."/>
    <n v="0.55000000000000004"/>
    <s v="Moderate confidence because the evidence establishes a plausible motive (conventional limits) but provides no direct mention of cyber or information operations, nor of capability or intent; therefore the linkage is suggestive but not strongly substantiated."/>
    <s v="Yes"/>
    <s v="Yes"/>
    <s v="No"/>
    <s v="Pursuing an underhanded gray zone strategy is consistent with acknowledging Redland's lack of military capabilities withotu Union patronage."/>
    <m/>
  </r>
  <r>
    <s v="819211EA-3646-471B-A986-B7167C0A05EB"/>
    <n v="6062"/>
    <n v="4"/>
    <s v="Diplomatic"/>
    <x v="0"/>
    <s v="Redland’s President privately told a third-party intelligence chief that fighting must begin within the next few months to provoke international intervention."/>
    <s v="Over the next 3–6 months, Redland pushes the Federation and intermediaries to broker a settlement package while publicly refusing direct negotiations with Blueland; observables: shuttle diplomacy, mediator proposals, documented mediator engagement, Redland acceptance of mediated terms, and absence of bilateral negotiation records."/>
    <x v="3"/>
    <s v="A plan to ensure fighting commences to trigger outside intervention conflicts with a strategy centered on pursuing a Federation-mediated settlement via shuttle diplomacy and avoiding escalation. The evidence signals intent to initiate or allow hostilities rather than prioritize avoidance of military action, so it weighs against the hypothesis. However, because the claim is a private, possibly coercive statement, ambiguity remains about whether it reflects genuine operational intent or rhetorical signaling, preventing classification as very inconsistent."/>
    <n v="0.75"/>
    <s v="Moderately high confidence because the evidence is a direct, attributed statement from the President that contradicts the mediation-focused hypothesis. Confidence is reduced because the statement could be a strategic bluff, the source/context are limited, and no corroborating evidence is provided."/>
    <s v="Yes"/>
    <s v="Yes"/>
    <s v="No"/>
    <s v="Backchanneling like this could involve complex maneuvering in the background to facilitate Redland's attempt to broker a settlement package, which could make this consistent. However, it could also be inconsistent because telling someone you want to initiate hostilities while also intending to broker a non-violent settlement doesn't add up."/>
    <m/>
  </r>
  <r>
    <s v="846480C0-D541-4E8B-B532-99A345173465"/>
    <n v="5100"/>
    <n v="2"/>
    <s v="Diplomatic"/>
    <x v="1"/>
    <s v="Redland maintained extensive dummy SAM sites to confuse surveillance."/>
    <s v="Within 3–6 months, Redland will judge diplomacy insufficient and either initiate renewed hostilities or sponsor Northland‑led attacks, while conducting parallel diplomacy to manage escalation, shape narratives, and seek favorable imposed terms."/>
    <x v="0"/>
    <s v="A decision to initiate or support hostilities would create an operational need to deceive adversary targeting and conceal true force dispositions. Maintaining a large number of dummy SAM sites is compatible with those deception objectives and therefore is consistent with preparations for hostilities. However, the same deception measure also plausibly supports a primarily defensive posture (to complicate enemy targeting while remaining non-offensive), so the evidence does not strongly distinguish offensive intent and is thus graded as 'Consistent' rather than 'VeryConsistent.'"/>
    <n v="0.55000000000000004"/>
    <s v="The observation (206 dummy sites) is specific and relevant, but its link to offensive intent is not unique: many states use decoys for defensive hardening or signaling without planning to attack. Additionally, the provided information lacks provenance and corroborating indicators (e.g., mobilization of offensive forces, logistic preparations, command directives), which lowers confidence. Therefore a moderate confidence level is appropriate."/>
    <s v="Yes"/>
    <s v="Yes"/>
    <s v="No"/>
    <m/>
    <m/>
  </r>
  <r>
    <s v="887CFF13-AA7C-4C11-A447-B50B6D8E3407"/>
    <n v="6010"/>
    <n v="5"/>
    <s v="Information"/>
    <x v="2"/>
    <s v="Redland is adopting a policy of “intrinsic power” and actively attempting to move away from socialist dependence and “open the door” to Western capital."/>
    <s v="In the next 3-6 months, Redland will focus information operations inward (censorship, elite messaging discipline, scapegoating, limited transparency) while externally projecting restrained rhetoric on the Border Zone to preserve flexibility and avoid commitments to war or concessions. Observable indicators: increased censorship or media guidance, coordinated elite messaging and talking points, public calming statements, domestic prosecutions or scapegoating of alleged conspirators."/>
    <x v="0"/>
    <s v="If Redland were mainly tightening internal information control while outwardly projecting restraint, we would not necessarily expect—or be surprised by—an economic realignment toward 'intrinsic power' and courting Western capital. The evidence concerns economic strategy rather than information‑operations or public messaging, so it neither supports nor contradicts the hypothesis directly."/>
    <n v="0.41"/>
    <s v="The evidence is specific and appears credible about an economic pivot, but its logical linkage to the hypothesis (information control + outward restraint) is indirect. Because the domains only partially overlap, the neutrality judgment is assigned with moderate confidence."/>
    <s v="Yes"/>
    <s v="Yes"/>
    <s v="No"/>
    <s v="Pivoting to the West (who favors a non-violent solution between Redland and Blueland) would align with these actions."/>
    <m/>
  </r>
  <r>
    <s v="9354A92C-BD82-4BF6-9E37-00B770BC1A4C"/>
    <n v="33"/>
    <n v="2"/>
    <s v="Information"/>
    <x v="1"/>
    <s v="As of May 2025, Redland’s President prioritized acquiring additional aircraft and expanding pilot training to reach an appropriate preparedness level."/>
    <s v="Within 3–6 months, Redland will conduct coordinated influence operations (diplomatic messaging, media narratives, selective intelligence disclosures) portraying imminent uncontrollable escalation to pressure external actors into imposing a settlement on Blueland and the Federation."/>
    <x v="0"/>
    <s v="If Redland is trying to convince outsiders that escalation is imminent, public steps that increase and display military capability would help make that narrative credible. Prioritizing aircraft purchases and expanded pilot training are visible indicators of growing capacity, so they are consistent with an influence-first campaign aimed at signaling imminent escalation rather than contradicting it."/>
    <n v="0.55000000000000004"/>
    <s v="The underlying facts (procurement and training emphasis) are concrete and observable, supporting moderate confidence. However, the causal link to a deliberate coercive information campaign is indirect and could reflect alternative motivations, so confidence is limited rather than high."/>
    <s v="Yes"/>
    <s v="Yes"/>
    <s v="No"/>
    <s v="This would be consistent with an information campaign portraying imminent escalation."/>
    <m/>
  </r>
  <r>
    <s v="939EDD3A-FE76-4B6A-BCA3-BB00714768AD"/>
    <n v="6195"/>
    <n v="6"/>
    <s v="Military"/>
    <x v="3"/>
    <s v="Redland occupied four new SA-6 SAM sites within 17 nautical miles of the Border Zone in spring 2025."/>
    <s v="Within 3–6 months, Redland will pursue sustained below‑threshold pressure—covert action and SOF operations, probing attacks, limited cross‑border fires/raids, electronic warfare, and intermittent air‑defense escalations—to raise costs and instability around the Border Zone while avoiding conventional‑war triggers."/>
    <x v="0"/>
    <s v="If Redland intends to sustain low-intensity pressure through intermittent air-defense escalations, we would expect it to move additional SAM assets forward to signal capability and complicate Blueland’s air operations without crossing the threshold into direct offensive action. Occupying four new SA-6 sites within 17 nm of the Border Zone is exactly such an air-defense escalation and therefore fits neatly with the hypothesized COA."/>
    <n v="0.57999999999999996"/>
    <s v="The evidence is concrete, time-bound, and directly tied to air-defense activity envisioned in the hypothesis, supporting a moderate level of analytic confidence. However, forward SAM deployments could also precede higher-end conflict preparations, introducing some ambiguity and preventing higher confidence."/>
    <s v="Yes"/>
    <s v="Yes"/>
    <s v="No"/>
    <m/>
    <m/>
  </r>
  <r>
    <s v="98E6E566-AA0D-4CF7-89B9-C5EEC3DE57A2"/>
    <n v="6521"/>
    <n v="3"/>
    <s v="Diplomatic"/>
    <x v="1"/>
    <s v="Between June and August 2025, Redland-Union friction increased as the Union limited support and denied weapons that might encourage renewed hostilities."/>
    <s v="Within 3–6 months, Redland intensifies UN- and third-party–led diplomatic efforts on the Border Zone while refusing direct Redland–Blueland negotiations—observable via increased mediation activity, submitted proposals to international bodies, engagement with envoys, and public refusals of bilateral talks—seeking a brokered framework that advances Redland’s objectives."/>
    <x v="0"/>
    <s v="If Redland intends to intensify third‑party mediation while eschewing direct talks with Blueland, we would expect less immediate need for new offensive weapons and therefore a greater plausibility of capped external military support. The Union’s decision to limit arms is compatible with, and does not contradict, a shift toward mediation; the evidence is indirectly linked and thus supports the hypothesis without proving it."/>
    <n v="0.55000000000000004"/>
    <s v="The evidence is an attributed claim about military aid reductions, which plausibly aligns with the hypothesis but does not directly show Redland’s diplomatic intentions or behavior. Because the link is inferential rather than explicit, confidence is moderate."/>
    <s v="Yes"/>
    <s v="Yes"/>
    <s v="No"/>
    <s v="An increased diplomatic effort would be consistent with a lack of Union support to military efforts and buildup."/>
    <m/>
  </r>
  <r>
    <s v="9B6E2978-177E-484D-AA70-A6D13DC30C32"/>
    <n v="5514"/>
    <n v="6"/>
    <s v="Military"/>
    <x v="0"/>
    <s v="Redland’s President stated in a May speech he felt pressure from the Union to pursue a 'peaceful solution.'"/>
    <s v="Within 3–6 months, Redland will execute a limited air campaign—precision airstrikes, stand‑off fires, and intensified IADS operations—targeting Border Zone positions to coerce Blueland to change its posture while avoiding a major ground invasion."/>
    <x v="1"/>
    <s v="A senior leader publicly framing the preferred approach as seeking a &quot;peaceful solution&quot; and citing compulsion by the Union implies diplomatic and political constraints that work against launching an imminent limited coercive air campaign. The statement therefore contradicts the expectation of imminent offensive air action absent additional evidence showing parallel operational preparations or contradictory leadership signals."/>
    <n v="0.61"/>
    <s v="The evidence is a direct, attributable public statement, so its authenticity is high. But leaders occasionally issue peace-oriented public statements while covertly preparing limited operations, and the single statement does not rule out contradictory signals or classified preparations. That ambiguity yields moderate confidence rather than high."/>
    <s v="Yes"/>
    <s v="Yes"/>
    <s v="No"/>
    <s v="It depends on Redland president's intent to respond to that pressure, but assuming Redland doesn't act defiantly towards Union, this would be inconsistent."/>
    <m/>
  </r>
  <r>
    <s v="9FF71F01-C9AE-4B0E-9B00-F5A4A9BF8134"/>
    <n v="8111"/>
    <n v="10"/>
    <s v="Information"/>
    <x v="1"/>
    <s v="As of May 2025, Redland’s President prioritized acquiring aircraft and expanding pilot training to reach an appropriate preparedness level."/>
    <s v="Within 3–6 months, Redland conducts a false-flag or engineered-incident information operation to attribute blame to Blueland and create diplomatic cover for escalation; observable by rapid circulation of doctored evidence, coordinated media narratives, manipulated forensics, and prepositioned political messaging assigning culpability to Blueland."/>
    <x v="0"/>
    <s v="If Redland intends to stage an engineered incident to justify escalation, raising overall military readiness (more aircraft, trained pilots) is compatible with that intent because it provides the capability to execute or exploit such an incident. The evidence therefore supports consistency with the hypothesis but does not by itself demonstrate deceptive intent or false-flag planning."/>
    <n v="0.35"/>
    <s v="Moderate-to-low confidence because the evidence is indirect: increased airpower is a common precursor to many military courses of action, not uniquely indicative of a false-flag plan. The data is specific about procurement and training but lacks direct indicators of deception, media manipulation, or operational planning for a staged incident."/>
    <s v="Yes"/>
    <s v="Yes"/>
    <s v="No"/>
    <m/>
    <m/>
  </r>
  <r>
    <s v="A0DCE0EA-7153-44E6-84E7-E000F36A133B"/>
    <n v="7387"/>
    <n v="5"/>
    <s v="Economic"/>
    <x v="1"/>
    <s v="Recent reporting for the specific Northland assault window (19–25 September) mentioned only Northland units, and an assessment noted expected “elaborate contributions” from other states did not materialize."/>
    <s v="In the next 3-6 months, Redland will offer economic inducements tied to a diplomatic process (reconstruction financing, trade normalization, transit/pipeline revenue-sharing, compensation, phased market access) to incentivize acceptance of a negotiated outcome aligned with Redland’s territorial objectives. Observable indicators: public or leaked package offers, conditional financial pledges, draft agreements linking economic benefits to concessions, initiation of joint economic working groups."/>
    <x v="3"/>
    <s v="If Redland planned to secure gains via economic inducements and diplomacy, it would have an incentive to avoid actions that could jeopardize that approach. The observed absence of Redland (or other outside) forces during the September offensive is therefore consistent with a strategy of preserving non-military leverage rather than engaging militarily."/>
    <n v="0.46"/>
    <s v="The connection is indirect: the evidence documents a lack of military participation but does not itself mention Redland's economic or diplomatic strategy. Without source detail or direct statements of intent, the inference is plausible but not strongly supported, yielding moderate confidence."/>
    <s v="Yes"/>
    <s v="Yes"/>
    <s v="No"/>
    <m/>
    <m/>
  </r>
  <r>
    <s v="A2835989-FC13-4D62-9784-50A5ABE723CF"/>
    <n v="2734"/>
    <n v="1"/>
    <s v="Military"/>
    <x v="1"/>
    <s v="Redland’s President views the stalemate as intolerable and retains the primary goal of regaining territory occupied by Blueland."/>
    <s v="Within 3–6 months, reporting will record discrete, tightly controlled Redland military actions (short raids, targeted artillery/rocket strikes, limited incursions or brief tactical air strikes) focused on specific Border Zone objectives, conducted with rapid withdrawal and explicit operational limits to avoid escalation to general war."/>
    <x v="0"/>
    <s v="The president's explicit frustration with the status quo and stated priority of recovering occupied territory provide a plausible political motive for ordering limited, targeted military actions in the Border Zone. The evidence aligns with the hypothesized intent but does not itself demonstrate that actions will be limited in scope or controlled, so it supports consistency without proving the full hypothesis."/>
    <n v="0.65"/>
    <s v="The source is an explicit attribution of intent, giving moderate confidence that the president seeks territorial recovery. However, the evidence addresses motivation rather than operational plans or limits, leaving uncertainty about whether any ordered action would be limited versus escalatory."/>
    <s v="Yes"/>
    <s v="Yes"/>
    <s v="No"/>
    <m/>
    <m/>
  </r>
  <r>
    <s v="A65D2813-3909-479E-9C79-9B6FC28A23D7"/>
    <n v="5167"/>
    <n v="3"/>
    <s v="Economic"/>
    <x v="1"/>
    <s v="Redland’s defense spending sharply increased since the 2019 war, indicating mounting economic burden tied to the conflict."/>
    <s v="Within 3–6 months, Redland escalates targeted economic warfare—trade and transport restrictions, disruption of border-adjacent commerce, selective embargoes, and inducements to third parties—observable via transport chokepoint closures, disruptions to logistics and supply chains, trade statistics showing declines, and third-party commercial pressure—aimed at degrading Blueland’s ability to hold the Border Zone without large-scale kinetic offensives."/>
    <x v="1"/>
    <s v="A substantial (220%) rise in defense spending increases fiscal pressure and the marginal cost of kinetic operations. That economic constraint makes lower-cost instruments—targeted economic warfare—more attractive. The spending surge therefore aligns with and supports the hypothesis but does not directly prove it."/>
    <n v="0.55000000000000004"/>
    <s v="Moderate confidence because the evidence establishes a plausible causal incentive (cost pressure) but is indirect. The spending increase does not by itself demonstrate strategic choice, intent, or capability to prioritize economic warfare over kinetic options."/>
    <s v="Yes"/>
    <s v="Yes"/>
    <s v="No"/>
    <m/>
    <s v="Good point that I hadn't thought of"/>
  </r>
  <r>
    <s v="A682E870-53D1-4E7F-AAB9-EB149330C2DD"/>
    <n v="7761"/>
    <n v="7"/>
    <s v="Military"/>
    <x v="1"/>
    <s v="Redland’s President’s primary international goal remains regaining territory under Blueland occupation and he views the stalemate as intolerable."/>
    <s v="Within 3–6 months, Redland will generate a coercive war scare by visibly increasing deployments, holding large-scale exercises, rapidly repositioning SAMs and aircraft, and conducting demonstration strikes or signaling flights while stopping short of sustained attacks on Blueland forces; observable indicators include high-profile mobilization announcements, large joint exercises near the border, frequent overflights or demo strikes that do not result in territorial changes, and heightened public readiness messaging."/>
    <x v="0"/>
    <s v="If Redland intends merely to create a credible war scare short of actual combat, we would expect its leadership to regard the present territorial stalemate as unacceptable and to state publicly that regaining the occupied lands is a primary goal. Such dissatisfaction supplies the political motivation for coercive military posturing. The statement does not obligate Redland to launch real hostilities, nor does it contradict a strategy of intimidation without a full attack."/>
    <n v="0.55000000000000004"/>
    <s v="The evidence is a direct statement of the president’s objectives, which makes its authenticity likely. However, inferring a specific operational choice (limited war scare versus full-scale invasion or diplomatic measures) from that statement is interpretive, so overall confidence is moderate rather than high."/>
    <s v="Yes"/>
    <s v="Yes"/>
    <s v="No"/>
    <s v="Consistent"/>
    <m/>
  </r>
  <r>
    <s v="B9390775-091C-462A-8F98-F2FA211919BC"/>
    <n v="8018"/>
    <n v="6"/>
    <s v="Diplomatic"/>
    <x v="2"/>
    <s v="In late June 2025, Redland SAM crews fired at Blueland aircraft but failed to hit any."/>
    <s v="Within 3–6 months, Redland will increase diplomatic pressure in international forums—filing or sponsoring UN/resolution drafts, leading coordinated joint statements and media campaigns—to portray Blueland and the Federation as isolated/illegitimate while publicly refusing direct talks with Blueland."/>
    <x v="3"/>
    <s v="A solitary, ineffective SAM shot is a tactical datapoint that can occur under many strategies (routine defense, probing, limited harassment, or constrained coercion). It neither supports nor contradicts a broader diplomatic strategy focused on UN resolutions and messaging because such a strategy can coexist with isolated, low-level kinetic incidents. Therefore the evidence is not diagnostic for the hypothesis."/>
    <n v="0.46"/>
    <s v="The evidence is narrowly tactical and ambiguous in intent. Because one small engagement could be interpreted in multiple ways and provides little information about behavior in diplomatic fora, confidence in the neutral assessment is moderate rather than high."/>
    <s v="Yes"/>
    <s v="Yes"/>
    <s v="No"/>
    <m/>
    <m/>
  </r>
  <r>
    <s v="A9D2A0EE-94F7-4DED-9D8E-340EC39B047F"/>
    <n v="1787"/>
    <n v="5"/>
    <s v="Information"/>
    <x v="2"/>
    <s v="Despite diplomatic maneuvering, Redland’s President rejected any interim agreement that would reopen the Border Zone or involve only partial Blueland withdrawal."/>
    <s v="In the next 3-6 months, Redland will conduct sustained, deniable cyber operations targeting Blueland’s logistics, command-and-control, mobilization systems, and critical infrastructure to degrade readiness and raise the cost of holding the Border Zone while maintaining plausible deniability. Observable indicators: recurring unexplained outages or disruptions in logistics/C2 systems, forensics suggesting stealthy intrusion tools, degraded mobilization timelines, lack of clear public attribution."/>
    <x v="0"/>
    <s v="The evidence speaks to Redland's public diplomatic stance (rejecting partial agreements) but does not provide direct information about intent, capability, planning, or decision to carry out deniable cyber-attacks. A hard-line negotiating posture is neither necessary nor sufficient to infer a decision to pursue covert cyber operations, so the evidence neither supports nor contradicts the hypothesis."/>
    <n v="0.45"/>
    <s v="The underlying evidence is specific and credible regarding diplomacy, but its relevance to clandestine cyber activity is limited. Therefore confidence that this evidence bears on the hypothesis is low–moderate."/>
    <s v="Yes"/>
    <s v="Yes"/>
    <s v="No"/>
    <s v="gray zone activity is consistent with Redland's refusal to accept any interim agreement or partial withdrawal."/>
    <m/>
  </r>
  <r>
    <s v="B0AD2B10-5E6F-4FD7-8059-782003022D18"/>
    <n v="4007"/>
    <n v="4"/>
    <s v="Diplomatic"/>
    <x v="0"/>
    <s v="Redland’s President privately told a third-party intelligence chief that fighting must begin within the next few months to provoke international intervention."/>
    <s v="Over the next 3–6 months, Redland negotiates a formal ceasefire/pause in the Border Zone that preserves the status quo and reduces military and economic burdens; observables: signed pause agreements, deployment freezes, international monitors on site, and a measurable decline in combat incident reports."/>
    <x v="4"/>
    <s v="A private statement by Redland’s president that fighting &quot;must commence within the next few months&quot; to provoke outside involvement directly contradicts the notion that Redland primarily seeks a pause to lock in the status quo and reduce costs. That remark points toward planned escalation rather than a stabilizing interim freeze, producing clear inconsistency with the hypothesis."/>
    <n v="0.75"/>
    <s v="The evidence is a direct, attributed statement from a senior actor about intent and timing, giving it high relevance and probative value. Confidence is reduced from maximum because the remark is single-source, private (possible misreporting or dissembling), and might reflect a subset of options rather than settled policy."/>
    <s v="Yes"/>
    <s v="Yes"/>
    <s v="No"/>
    <s v="Assuming evidence is a correct representation of Redland president's intent, this would directly contradict this hypothesis."/>
    <m/>
  </r>
  <r>
    <s v="B1476D55-963A-4C8A-95CB-FCC42BC1CB4A"/>
    <n v="8333"/>
    <n v="8"/>
    <s v="Diplomatic"/>
    <x v="1"/>
    <s v="Redland’s President intends to leverage perceived isolation of Federation/Blueland at the fall 2025 UN General Assembly via a psychological counter strategy portraying them as isolated."/>
    <s v="Within the next 3–6 months, Redland shifts toward pragmatic de‑escalation diplomacy aimed at an interim freeze, monitoring arrangements, or confidence‑building measures around the Border Zone to relieve pressure while postponing maximal aims. Observable indicators: proposals for freezes/monitors, acceptance of verification steps, pauses in kinetic activity."/>
    <x v="1"/>
    <s v="If Redland shifts toward a pragmatic diplomatic de-escalation, we would expect it to invest effort in multilateral forums such as the UN General Assembly and employ information operations that frame Blueland and the Federation as diplomatically isolated. Such messaging bolsters bargaining leverage for an interim freeze or monitoring arrangement without resorting to force, and therefore fits logically with a de-escalation strategy. The evidence neither contradicts nor strongly exceeds what the hypothesis predicts, so it is simply consistent."/>
    <n v="0.55000000000000004"/>
    <s v="The link rests on a broad alignment: diplomatic maneuvering is compatible with a de-escalation COA. However, the evidence does not mention concrete proposals for freezes or monitoring—only a propaganda effort—so the fit, while reasonable, is not highly specific. This yields moderate rather than high confidence."/>
    <s v="Yes"/>
    <s v="Yes"/>
    <s v="No"/>
    <s v="An intent for an antagonistic information strategy like this is not consistent deescalation strategy "/>
    <m/>
  </r>
  <r>
    <s v="B4C829BE-AB7B-4FBD-AE87-BAF8925A74DC"/>
    <n v="6194"/>
    <n v="3"/>
    <s v="Military"/>
    <x v="1"/>
    <s v="A third-party leader warned Redland’s Foreign Minister that a frontal cross-border attack would be suicidal for Redland."/>
    <s v="Within 3–6 months, Redland avoids being the principal initiator of hostilities and enables a Northland-led offensive through ISR sharing, air/SAM coverage, logistics, and limited force contributions—observable via cross-border support flows, coordinated targeting data, joint operational signs, and public denials of direct responsibility—intended to pressure Blueland while retaining plausible distance."/>
    <x v="0"/>
    <s v="If Redland intends to let Northland be the principal attacker while it stays in the background, we would expect Redland to be sensitive to the high costs of mounting its own frontal assault. A warning from a third‑party leader that such an attack would be &quot;suicidal&quot; fits that context and reinforces the logic of avoiding direct initiation; it neither contradicts nor strongly confirms the enabling strategy."/>
    <n v="0.55000000000000004"/>
    <s v="The evidence is specific and clearly relates to the risks of Redland leading an assault, but it does not mention Northland coordination, explicit enabling measures, or indirect support. Therefore the connection to the hypothesis is plausible yet not highly specific, yielding moderate confidence."/>
    <s v="Yes"/>
    <s v="Yes"/>
    <s v="No"/>
    <s v="An offensive stance without crossing the threshold of a full on cross border offensive is consistent."/>
    <m/>
  </r>
  <r>
    <s v="B5CF19ED-F518-4FAA-B1D0-250DE254D668"/>
    <n v="1249"/>
    <n v="3"/>
    <s v="Diplomatic"/>
    <x v="1"/>
    <s v="Late June 2025: Redland SAM crews engaged Blueland aircraft but achieved no hits."/>
    <s v="Within 3–6 months, Redland offers economic concessions (transit guarantees, commercial access, compensation, phased normalization) to the Federation or key third parties in return for diplomatic pressure on Blueland—observable via formal proposals, conditional economic packages, and subsequent shifts in third-party diplomatic posture—trading near-term relief for reduced immediate prospects of territorial recovery by force."/>
    <x v="3"/>
    <s v="The SAM failure is consistent with the hypothesis because it illustrates a concrete military weakness that would make a diplomatic-economic course of action more attractive relative to decisive military escalation. The evidence therefore supports (but does not prove) the claim that Redland might prioritize economic concessions to gain diplomatic leverage."/>
    <n v="0.55000000000000004"/>
    <s v="Moderate confidence because the fact is verifiable and relevant, but the causal step from a single military performance problem to a strategic decision to offer economic concessions is inferential. No direct statements or multiple corroborating incidents are provided to establish intent, so confidence is limited."/>
    <s v="Yes"/>
    <s v="Yes"/>
    <s v="No"/>
    <s v="Not connected"/>
    <s v="Possible example of one piece of evidence being weighed too heavily"/>
  </r>
  <r>
    <s v="B713DFA9-ED8E-47CB-8417-1FF0F930718E"/>
    <n v="1076"/>
    <n v="4"/>
    <s v="Information"/>
    <x v="0"/>
    <s v="Redland’s President privately told a third-party intelligence chief that fighting must begin within the next few months to provoke international intervention."/>
    <s v="Over the next 3–6 months, Redland emphasizes narratives blaming external actors for economic hardship and highlights readiness/civil defense to maintain regime legitimacy without committing to near‑term combat; observables: state media themes, civil defense campaigns, mobilization of reserves for domestic roles, and stepped‑up repression of dissent."/>
    <x v="1"/>
    <s v="A private assertion by the President that &quot;fighting must commence within the next few months&quot; directly contradicts the hypothesis’ core claim that Redland will avoid committing to combat in the near term. If taken at face value as an expression of intent or directive, it implies planning or willingness to initiate hostilities within the hypothesis’ timeframe, not solely domestic showmanship and delay tactics."/>
    <n v="0.75"/>
    <s v="Moderately high confidence because the evidence is a specific, attributable private statement that aligns temporally with the hypothesis’ defined near-term window. Residual uncertainty remains because the remark could be rhetorical, coercive signaling, or conditional on other developments; absent corroborating operational indicators, absolute certainty is not possible."/>
    <s v="Yes"/>
    <s v="Yes"/>
    <s v="No"/>
    <s v="Hypothesis implies a defensive, internally focused posture for the regime"/>
    <m/>
  </r>
  <r>
    <s v="B9A0C6BC-FE8C-4628-906E-567F989B5A3F"/>
    <n v="2930"/>
    <n v="5"/>
    <s v="Diplomatic"/>
    <x v="3"/>
    <s v="Analysts assumed most observed Redlandian movements were defensive reactions to fear of “Blueland reprisal for the Mirage transfer.”"/>
    <s v="In the next 3-6 months, Redland will run a multilateral diplomatic offensive centered on the UN to isolate Blueland/the Federation and mobilize third-party pressure (potentially including energy leverage), while stopping short of direct Redland–Blueland negotiations. Observable indicators: Redland-sponsored UN resolutions or initiatives, coalition-building at multilateral fora, public campaigning within UN bodies, third-party statements aligning with Redland framing."/>
    <x v="3"/>
    <s v="If Redland’s strategy were to pursue a UN-focused diplomatic campaign while avoiding active hostilities, we would expect its force posture to be primarily defensive in order to deter or absorb any Blueland reaction without provoking war. Evidence that most troop and SAM relocations are interpreted by analysts as 'defensive reactions' to fear of a Blueland reprisal neatly fits this logic and is exactly what we would anticipate under a diplomacy-first COA."/>
    <n v="0.63"/>
    <s v="The evidence directly addresses military posture, one of the key observable behaviors that should accompany a diplomacy-led strategy, so the relevance is high. However, the judgment that the moves are defensive comes from analysts’ interpretation rather than primary data, leaving room for alternative explanations; hence moderate confidence."/>
    <s v="Yes"/>
    <s v="Yes"/>
    <s v="No"/>
    <m/>
    <m/>
  </r>
  <r>
    <s v="BB12A5EB-43DD-4100-8C9A-48DF1DC5A645"/>
    <n v="2494"/>
    <n v="1"/>
    <s v="Military"/>
    <x v="1"/>
    <s v="Redland’s Foreign Minister perceived strong domestic pressure to resume hostilities due to the cost of maintaining a large army."/>
    <s v="Within 3–6 months, evidence will show Redland implementing war‑economy measures—emergency budgeting, defense‑industrial expansion, accelerated procurement financing, rationing/price controls and FX restrictions—demonstrating a sustained mobilization to preserve coercive capacity and enable future military options."/>
    <x v="2"/>
    <s v="If Redland were moving toward a war-economy posture, senior officials noting rising fiscal burdens and popular pressure tied to sustaining a large standing force is an expected signal. The Foreign Minister’s comment about “irresistible domestic pressure” over army expenses aligns with that expectation and therefore is consistent with the hypothesis, though it does not by itself prove policy change."/>
    <n v="0.35"/>
    <s v="The evidence is a quoted perception from a senior official rather than verifiable data on budgetary decisions or legal emergency measures. That makes the link plausible but moderate in strength; alternative explanations (rhetorical positioning, political signaling) remain possible."/>
    <s v="Yes"/>
    <s v="Yes"/>
    <s v="No"/>
    <s v="This is very consistent and be a primary way to increasing preparedness and appeasing domestic pressure."/>
    <m/>
  </r>
  <r>
    <s v="C3ED796B-3969-4ECE-9604-9FB32D1AEFD6"/>
    <n v="5305"/>
    <n v="2"/>
    <s v="Diplomatic"/>
    <x v="0"/>
    <s v="Mirage fighters were identified as the only Redland aircraft capable (low-altitude radius) of penetrating Blueland defenses to strike Blueland."/>
    <s v="Within 3–6 months, Redland will pursue an information‑centric off‑ramp by reframing issues in international forums—narrowing objectives, redefining interim steps, and compartmentalizing disputes—to enable a politically survivable pause while shifting blame to Blueland and the Federation."/>
    <x v="3"/>
    <s v="A deployment of a strike platform uniquely capable of penetrating Blueland’s defenses is inconsistent with an exclusively information-centric, diplomatic off-ramp that emphasizes de-escalatory signaling. Such a move indicates preparation for kinetic options or at least coercive leverage, which would undercut the credibility of a purely political pause."/>
    <n v="0.55000000000000004"/>
    <s v="Moderate confidence because the underlying fact (deployment of the Mirage) is concrete and directly relevant to assessing intent. However, intent is ambiguous: the same capability could be used as bargaining leverage or deterrence during negotiations, so the interpretive step from deployment to foreclosing a diplomatic off-ramp is not certain."/>
    <s v="Yes"/>
    <s v="Yes"/>
    <s v="No"/>
    <s v="This could be interpreted both ways potentially. However, it is generally irrelevant to the hypothesis, which is diplomacy-centric."/>
    <m/>
  </r>
  <r>
    <s v="C6AFFF7C-10DA-49ED-9B9B-6662CCEBDAA9"/>
    <n v="3409"/>
    <n v="5"/>
    <s v="Diplomatic"/>
    <x v="1"/>
    <s v="The same assessment judged improved Redland air defenses make it doubtful Blueland can repeat the prior 30-to-1 kill ratio in a new conflict."/>
    <s v="In the next 3-6 months, Redland will use diplomacy primarily to shape conditions for renewed fighting (warnings/reassurance, deterring external intervention, securing tacit neutrality/support), with talks serving as a prelude or justification framework if negotiations stall. Observable indicators: diplomatic démarches seeking non-intervention guarantees, public warnings paired with discreet military preparations, talks timed immediately prior to or concurrent with military escalations."/>
    <x v="0"/>
    <s v="The evidence—that analysts doubt Blueland can achieve the previously observed 30:1 air-to-air kill ratio—indicates a reduction in Blueland’s air dominance or improved Redland countermeasures. That outcome is exactly what Redland would want if it were quietly preparing for a future offensive while engaging diplomatically, so the evidence aligns with (is consistent with) the hypothesis rather than contradicting it. It is supportive but indirect: it shows a capability shift rather than direct intent or diplomatic linkage."/>
    <n v="0.63"/>
    <s v="Moderate confidence because the evidence is a relevant expert assessment about a specific military capability, which logically fits the hypothesis. Confidence is not high because the single assessment does not directly demonstrate Redland’s diplomatic strategy or concrete force changes—only that Blueland’s air advantage may be reduced."/>
    <s v="Yes"/>
    <s v="Yes"/>
    <s v="No"/>
    <s v="Hypothesis signals Redland willing to renew fighting. Assuming Redland has the same assessment of a favorable kill ratio, this would be consistent."/>
    <m/>
  </r>
  <r>
    <s v="CD675CB7-8274-4AAE-9BB4-84E6A115ACD0"/>
    <n v="4403"/>
    <n v="1"/>
    <s v="Diplomatic"/>
    <x v="1"/>
    <s v="Redland’s President believed the Federation and Blueland were collaborating in psychological warfare to force surrender to Blueland mastery."/>
    <s v="Within 3–6 months, reporting will show intensified backchannel engagement and quiet diplomacy with key third‑party mediators (regional states, influential international actors) and the proposal of mediated frameworks or sequencing plans intended to secure a brokered settlement while avoiding direct Redland–Blueland talks."/>
    <x v="1"/>
    <s v="The president's explicit distrust of the Federation and Blueland (framing their actions as &quot;psychological warfare&quot;) plausibly motivates avoiding direct negotiations and seeking less visible intermediaries. The evidence aligns with the expected behavior under the hypothesis, though it does not directly demonstrate third-party mediation."/>
    <n v="0.45"/>
    <s v="The connection is logically plausible but indirect: the evidence shows motive (distrust) but lacks direct proof of third-party or back-channel use. Because the link requires inference rather than citing explicit mediator activity, confidence is moderate-to-low."/>
    <s v="Yes"/>
    <s v="Yes"/>
    <s v="No"/>
    <s v="Redland pursuing a diplomatic solution with the same entities you believe are engaged in a psychological campaign against you is not consistent."/>
    <m/>
  </r>
  <r>
    <s v="CD743596-6A19-4CDA-A3AD-29BDBD7AB4E1"/>
    <n v="1401"/>
    <n v="9"/>
    <s v="Diplomatic"/>
    <x v="2"/>
    <s v="Redland previously attempted to organize an oil boycott in early 2025 to be used if hostilities occurred, but later downplayed the military option in favor of oil leverage strategy."/>
    <s v="Within 3-6 months, Redland will create a crisis atmosphere via allied coordination to compel a settlement, observable through joint statements and synchronized posture increases with Northland, coordinated military exercises or deployments, unified threat messaging of multi-front consequences, and diplomatic pressure applied in concert by aligned states."/>
    <x v="1"/>
    <s v="If Redland intends to force a settlement through coordinated front-pressure with military overtones, we would mainly expect signs of joint posture hikes, exercises, or threat messaging with Northland and other allies. The cited evidence instead describes an earlier attempt to organize an oil boycott and a temporary deemphasis of the military option—activities that neither confirm nor flatly contradict the prospect of future synchronized military pressure. Because the evidence concerns an economic lever used at a different point in time, it is largely orthogonal to the hypothesized military-centric crisis strategy."/>
    <n v="0.35"/>
    <s v="The evidence is specific and well-sourced, but its linkage to the hypothesis is indirect and time-shifted, leaving considerable room for multiple interpretations. This weak, tangential connection lowers confidence in the neutrality assessment."/>
    <s v="Yes"/>
    <s v="Yes"/>
    <s v="No"/>
    <s v="The hypothesis is focused on increasing pressure via military and diplomatic activity, not economic"/>
    <m/>
  </r>
  <r>
    <s v="CEBA6297-42CF-430E-9DCB-024015C9215C"/>
    <n v="92"/>
    <n v="9"/>
    <s v="Military"/>
    <x v="1"/>
    <s v="Redland’s Foreign Minister perceived irresistible domestic pressure to resume hostilities due to the costs of maintaining a large army."/>
    <s v="Within 3-6 months, Redland will carry out controlled, limited military provocations near the Border Zone to raise costs, observable through short-duration artillery raids, special operations incursions, localized SAM/air sorties, or brief ground probes that cease without evolving into sustained offensive operations."/>
    <x v="2"/>
    <s v="If Redland will stage limited provocations to relieve pressure and raise crisis costs, we would expect some internal impetus pushing the leadership toward some form of renewed fighting. A perception by the Foreign Minister that there is &quot;irresistible domestic pressure&quot; to resume hostilities fits as a plausible motivational factor for opting for lower-risk, limited military actions rather than a major offensive. The statement does not guarantee such a strategy, but it aligns and does not conflict with it."/>
    <n v="0.55000000000000004"/>
    <s v="The evidence speaks directly to internal motivations, which are relevant to any course-of-action choice, so linkage is moderate. However, it is only a subjective perception by one official and does not specify the scale or type of action desired, so the certainty that this pressure translates specifically into limited provocations remains limited."/>
    <s v="Yes"/>
    <s v="Yes"/>
    <s v="No"/>
    <s v="Controlled military provocations would be very consistent with a strategy of appeasing domestic pressure without risking all out war."/>
    <m/>
  </r>
  <r>
    <s v="D4650413-D974-4CAE-AF23-3BC7C9D3277E"/>
    <n v="2026"/>
    <n v="9"/>
    <s v="Military"/>
    <x v="3"/>
    <s v="Redland used extensive SAM deception via dummy sites compared to occupied operational sites."/>
    <s v="Within 3-6 months, Redland will run coordinated information and readiness signaling to credibly threaten limited military action, observable via synchronized threatening statements, selective leaks about planned operations, staged readiness indicators, temporary force movements, and elevated military-media visibility without open hostilities."/>
    <x v="0"/>
    <s v="Deliberately deploying a large number of dummy SAM sites aligns closely with the hypothesized tactic of exaggerating or obscuring air-defense posture to create credible but controlled threats. The magnitude and nature of the measure (206 decoys) are exactly the sort of deception one would expect if Redland sought to signal the capability or readiness for limited action while avoiding open conflict."/>
    <n v="0.63"/>
    <s v="The underlying evidence is concrete and directly connected to the hypothesized deception mechanism, supporting above-average confidence. Residual uncertainty remains because the same deployment could be explained by non-deceptive motives (defensive dispersion, training, or misreporting), preventing higher confidence."/>
    <s v="Yes"/>
    <s v="Yes"/>
    <s v="No"/>
    <m/>
    <m/>
  </r>
  <r>
    <s v="D6E7A407-5C38-40C1-AC82-7C5895D8EA75"/>
    <n v="4126"/>
    <n v="7"/>
    <s v="Military"/>
    <x v="2"/>
    <s v="The Redlandian Foreign Minister signaled willingness to separate statehood of the occupied region from the broader Redland-Blueland conflict; analysts assumed Redland would not bargain for the occupied population in the current phase."/>
    <s v="Within 3–6 months, Redland will prioritize a defensive military posture in the Border Zone focused on strengthening integrated air defenses, dispersing and fortifying critical air assets, raising readiness, and employing deception while avoiding major offensive ground or air operations; observable indicators include increased SAM and air-defense deployments, force dispersal orders and entrenchment of airfields, routine defensive live-fire drills, visible logistical stockpiling, and no sustained combined-arms offensives."/>
    <x v="3"/>
    <s v="The evidence concerns diplomatic willingness to separate the statehood question from other issues; it speaks to negotiation tactics rather than observable military measures (air-defense build-up, force dispersal, avoidance of offensives). Because the evidence is orthogonal to the military indicators that would support or refute the hypothesis, it does not move the assessment toward consistent or inconsistent."/>
    <n v="0.45"/>
    <s v="The statement is clear and specific but is about diplomacy, not military posture. The link between such a diplomatic signal and the hypothesis about defensive military consolidation is indirect, so confidence that this evidence bears on the hypothesis is limited."/>
    <s v="Yes"/>
    <s v="Yes"/>
    <s v="No"/>
    <s v="Not connected"/>
    <m/>
  </r>
  <r>
    <s v="DABA9C7F-66A1-4A9F-982F-57AD0A5DEB55"/>
    <n v="2964"/>
    <n v="3"/>
    <s v="Diplomatic"/>
    <x v="1"/>
    <s v="Redland is attempting to reduce reliance on the Union and seek Western capital."/>
    <s v="Within 3–6 months, Redland pairs backchannel diplomacy with calibrated public ambiguity—conditional demands, mixed signals about willingness to fight, and shifting red lines—to extract concessions while avoiding commitment to either a full interim agreement or renewed fighting—observable via leaked backchannel contacts, inconsistent official statements, and limited conciliatory gestures."/>
    <x v="3"/>
    <s v="If Redland were pursuing a strategy of backchannel diplomacy and public ambiguity to extract concessions, we would expect it to hedge politically and economically—reducing dependence on a single patron and signaling alternative alignments—to increase leverage in negotiations. Seeking Western capital and loosening reliance on the Union fits that hedging behavior and does not conflict with the hypothesized intent to avoid firm commitment to renewed war or an interim deal."/>
    <n v="0.55000000000000004"/>
    <s v="The evidence of courting Western investment is plausibly supportive of a broader diplomatic balancing act, but it is not uniquely or directly predicted by the hypothesis; other motivations (e.g., pure economic necessity) could also drive it. Therefore, the logical link exists but is only moderately strong."/>
    <s v="Yes"/>
    <s v="Yes"/>
    <s v="No"/>
    <m/>
    <m/>
  </r>
  <r>
    <s v="DE52AF09-E138-435B-822C-651C120150A0"/>
    <n v="3365"/>
    <n v="10"/>
    <s v="Information"/>
    <x v="2"/>
    <s v="Redland’s Foreign Minister signaled readiness to separate occupied-region statehood from the conflict; by implication analysts assume the President will not bargain for the occupied population in the current phase."/>
    <s v="Within 3–6 months, Redland conducts a false-flag or engineered-incident information operation to attribute blame to Blueland and create diplomatic cover for escalation; observable by rapid circulation of doctored evidence, coordinated media narratives, manipulated forensics, and prepositioned political messaging assigning culpability to Blueland."/>
    <x v="3"/>
    <s v="A public willingness to de-link the occupied-region's statehood from negotiations is a diplomatic posture about agenda-setting. It neither provides evidence that Blueland is planning or conducting a false-flag operation nor directly contradicts that hypothesis. The statement is tangential: preparatory actions for a manufactured incident would more plausibly include explicit steps to plant evidence, coordinate covert actors, or publicly precondition blame, none of which are present in this evidence."/>
    <n v="0.28000000000000003"/>
    <s v="The available evidence is limited to a diplomatic statement that is only loosely related to the hypothesis. Because the connection is speculative and indirect, confidence in the neutrality assessment is low-to-moderate."/>
    <s v="Yes"/>
    <s v="Yes"/>
    <s v="No"/>
    <s v="Not connected"/>
    <m/>
  </r>
  <r>
    <s v="DE78BA45-8578-4C36-AC6D-837C40C7509F"/>
    <n v="4359"/>
    <n v="2"/>
    <s v="Diplomatic"/>
    <x v="1"/>
    <s v="Attempts by Redland to purchase sophisticated arms from the Northern Continent failed."/>
    <s v="Within 3–6 months, Redland will pair intensified diplomatic outreach with controlled escalation signaling (deadlines, mobilization rhetoric, public crisis messaging) to create pressure for rapid external intervention or concessions while stopping short of committing to immediate large‑scale war."/>
    <x v="0"/>
    <s v="If Redland is prioritizing psychological pressure over imminent large-scale combat, it would plausibly seek weapons to improve bargaining leverage but would not be critically dependent on their successful delivery. A failed arms purchase therefore does not contradict the hypothesis and can be accommodated within it; it may even push Redland to rely more on signaling and diplomatic coercion. Because the hypothesis does not strongly predict the success or failure of procurement attempts, the link between this specific evidence and the hypothesis is moderate rather than decisive."/>
    <n v="0.55000000000000004"/>
    <s v="The evidence is concrete and specific (a verifiable procurement failure), which allows a straightforward compatibility assessment. Yet the hypothesis is broad and does not make a strong claim about procurement outcomes, and the failed purchase admits reasonable alternative interpretations (e.g., reduced capability or credibility). These factors yield a middle-range confidence."/>
    <s v="Yes"/>
    <s v="Yes"/>
    <s v="No"/>
    <s v="This might be consistent if Redland is using escalation signaling to induce consessions on arms deals."/>
    <m/>
  </r>
  <r>
    <s v="E390C1B7-9799-40E7-9B49-364485316940"/>
    <n v="1854"/>
    <n v="7"/>
    <s v="Economic"/>
    <x v="0"/>
    <s v="A Federation memo stated Redland and Northland discussed resuming hostilities in May 2025 planning sessions and that Redland increased readiness as of Sept 26."/>
    <s v="Within 3–6 months, Redland will employ energy and other commodity measures (production cuts, embargoes, preferential supply deals, or organized boycotts) to raise external economic costs on Blueland and the Federation and compel diplomatic engagement; observable indicators include announced or implemented supply reductions, rerouting of exports, sudden changes to trade contracts, public coordination with buyers/suppliers, and messaging linking supply adjustments to political demands."/>
    <x v="3"/>
    <s v="If Redland's primary plan were to rely on energy and commodity leverage, public reporting would more likely emphasize export decisions, market interventions, or diplomatic/economic signaling. Instead, the May discussions about 'resuming hostilities' and the September 26 surge in operational and air‑defense readiness indicate concrete military planning and preparation, which contradicts the hypothesis that economic coercion is the primary strategy."/>
    <n v="0.65"/>
    <s v="The cited evidence is specific (dates and described actions) and directly relevant, giving moderate confidence. However, Redland could still pursue economic coercion in parallel with military preparations, and the reported items are attributed rather than independently verified in this conversation, leaving some residual uncertainty."/>
    <s v="Yes"/>
    <s v="Yes"/>
    <s v="No"/>
    <s v="There isn't a clear connection between economic measures and Northland/Redland military planning sessions and increased military readiness."/>
    <m/>
  </r>
  <r>
    <s v="E3B3BA9E-2B7D-4DD9-BB3F-B2465B63BA39"/>
    <n v="5918"/>
    <n v="7"/>
    <s v="Information"/>
    <x v="1"/>
    <s v="Redland previously tried to organize an oil boycott in early 2025 to be enacted if hostilities occurred."/>
    <s v="Within 3–6 months, Redland will mount an information-centric coercion campaign—public threats, controlled leaks, amplified messaging of imminent action—paired with cyber-enabled signaling (selective exposure of readiness indicators and deliberate ambiguity) to pressure Blueland and the Federation while avoiding major combat; observable indicators include synchronized media narratives, selective release of purported readiness assessments, targeted cyber disclosures of military status, and increased information operations activity."/>
    <x v="0"/>
    <s v="An attempt to coordinate an oil boycott is consistent with a strategy emphasizing non-kinetic pressure and signaling. Economic measures like an oil boycott can strengthen coercive messaging and credibility without necessitating open kinetic conflict; therefore this evidence supports, rather than contradicts, an IO/cyber-centric coercion hypothesis."/>
    <n v="0.63"/>
    <s v="The evidence is concrete and logically supportive of a coercive, non-kinetic approach. However, the linkage is indirect: an oil boycott is an economic instrument rather than an information or cyber operation, so while compatible with the hypothesis the evidence does not definitively prove IO/cyber primacy."/>
    <s v="Yes"/>
    <s v="Yes"/>
    <s v="No"/>
    <m/>
    <m/>
  </r>
  <r>
    <s v="E4BB834E-97DF-46B9-8467-3622CFBD278E"/>
    <n v="1845"/>
    <n v="6"/>
    <s v="Information"/>
    <x v="0"/>
    <s v="Mirage fighters deployed in Redland were assessed as the only aircraft with low-altitude radius capable of penetrating Blueland defenses to strike Blueland."/>
    <s v="Within 3–6 months, Redland will prioritize internal information control (media restrictions, elite messaging, patriotic campaigns) and economic stabilization measures to manage public pressure stemming from the Border Zone stalemate, using external messaging primarily to shore up regime legitimacy."/>
    <x v="3"/>
    <s v="If Redland’s near-term strategy were chiefly to shore up domestic legitimacy through information control and economic stabilization, we would expect resources and attention to be directed toward media controls, subsidies, and social-economic measures rather than acquiring niche offensive platforms. The arrival of Mirage fighters optimized for penetrating Blueland air defenses suggests planning for external kinetic options, diverting funds and signaling an intent to project force, which runs counter to a primarily inward-focused stabilization effort."/>
    <n v="0.6"/>
    <s v="The evidence is specific (identifies a particular aircraft type and its unique offensive value), giving moderate clarity on its military significance. However, it is possible the acquisition serves other purposes (deterrence signaling, regime prestige, or limited defensive needs), and the observation alone does not definitively prove strategic prioritization, so confidence is moderate rather than high."/>
    <s v="Yes"/>
    <s v="Yes"/>
    <s v="No"/>
    <s v="The deployment and capability of Mirage fighters could be interpreted differently depending on what narratives are pushed in Redland's internal information control campaign."/>
    <s v="I would have changed my mind based on LLM rationale. I didn't focus on the economic stabilization emphasis, so the LLM's rationale is better in this case."/>
  </r>
  <r>
    <s v="E5E1D23E-A269-4BE2-9799-30020BED210E"/>
    <n v="1632"/>
    <n v="10"/>
    <s v="Information"/>
    <x v="2"/>
    <s v="Redland relocated TU-160 bombers to the Capital area in late March 2025, but there was no evidence their air-to-surface missiles were moved."/>
    <s v="Within 3–6 months, Redland uses deniable cyber and information operations targeting Blueland command-and-control, air-defense readiness, public services, and administrative legitimacy in the Border Zone; observable by disruptive cyber incidents, degraded communications, false attribution patterns, and public-service outages timed to military pressure."/>
    <x v="3"/>
    <s v="If Redland’s near-term strategy were focused on covert cyber and information attacks, we would expect planning indicators in the virtual domain rather than movements of strategic bombers; the TU-160 relocation neither supports nor contradicts cyber activity because the aircraft are irrelevant to network operations. The fact that their missiles were not moved suggests posturing or deception, but this is not inherently predicted by a cyber-centric COA."/>
    <n v="0.32"/>
    <s v="The evidence speaks to kinetic air assets while the hypothesis concerns non-kinetic cyber actions, creating little direct linkage. Because the connection relies on speculative explanations (e.g., diversionary signaling), confidence in the neutrality judgment is modest."/>
    <s v="Yes"/>
    <s v="Yes"/>
    <s v="No"/>
    <s v="Relocation of bomber assets not connected to cyber and information operations."/>
    <m/>
  </r>
  <r>
    <s v="E9FB54E9-A8C3-4A30-863D-3056F36725B4"/>
    <n v="1645"/>
    <n v="3"/>
    <s v="Economic"/>
    <x v="0"/>
    <s v="Redland received additional combat aircraft from an allied third party in April 2025."/>
    <s v="Within 3–6 months, Redland courts Western capital (investment, credit lines, trade facilitation) to offset fiscal strain—observable via high-level outreach to Western financial institutions, preliminary financing agreements, easing of transactional frictions, or publicized negotiations—intended to bolster economic endurance and negotiating position while avoiding near-term military escalation."/>
    <x v="1"/>
    <s v="If Redland were primarily seeking Western financial support to relieve fiscal strain while deliberately avoiding near-term military escalation, we would expect outward-facing economic diplomacy and cost-containment, not the acquisition of 46 additional front-line combat aircraft. Such a purchase (or transfer) signals a continued emphasis on military capability, diverts resources, and can heighten tensions, which runs counter to a strategy centered on economic endurance and de-escalation."/>
    <n v="0.63"/>
    <s v="The evidence is concrete and specific (delivery of Su-30s and MiG-29s), allowing a clear assessment of its military nature. However, uncertainty remains because a state could simultaneously seek economic aid and augment defenses for deterrence, leaving some room for alternative interpretations."/>
    <s v="Yes"/>
    <s v="Yes"/>
    <s v="No"/>
    <m/>
    <m/>
  </r>
  <r>
    <s v="EE05B047-D3D2-438E-84BD-3EE5828F7926"/>
    <n v="2141"/>
    <n v="3"/>
    <s v="Diplomatic"/>
    <x v="1"/>
    <s v="The regiment of SA-6 equipment located 100 miles south of the capital was largely deployed elsewhere by May 2025."/>
    <s v="Within 3–6 months, Redland escalates crisis messaging—warnings, elevated alert postures, public deadlines—to provoke major-power or UN intervention—observable via diplomatic notes, mobilization announcements, declared alerts, and international emergency consultations—using the prospect of war as leverage rather than accepting immediate compromise."/>
    <x v="0"/>
    <s v="Moving an air-defense regiment from a rear area to more forward or otherwise visible locations is exactly the sort of conspicuous but non-offensive military action that can serve as crisis-signaling to attract outside attention or intervention. The reported movement therefore aligns with the hypothesis rather than contradicting it."/>
    <n v="0.4"/>
    <s v="The assessment rests on a single reported movement with no information about destination, orders, or accompanying political signaling. That makes the linkage to deliberate crisis-signaling plausible but uncertain, producing moderate confidence rather than high confidence."/>
    <s v="Yes"/>
    <s v="Yes"/>
    <s v="No"/>
    <m/>
    <s v="Good example where the LLM highlights ambiguous information (lack of destination, orders, etc) that lowered the confidence score."/>
  </r>
  <r>
    <s v="F474F8F4-75CE-4D70-BFC1-7F9F7A018C9B"/>
    <n v="4235"/>
    <n v="1"/>
    <s v="Economic"/>
    <x v="1"/>
    <s v="Analysts assumed most observed Redland military movements were defensive reactions to fear of Blueland reprisal for the Mirage transfer."/>
    <s v="Within 3–6 months, intelligence will record Redland imposing targeted punitive economic measures—trade restrictions, asset freezes, contract cancellations, market‑access denials and payment barriers—aimed at firms and sectors supporting Blueland’s war effort to degrade its sustainment capacity while avoiding direct military engagement."/>
    <x v="3"/>
    <s v="If Redland is primarily preparing to apply punitive economic pressure while avoiding a fight, we would expect its armed forces to stay in a protective, non‑provocative stance. Evidence that most troop and SAM adjustments were interpreted by analysts as defensive responses to feared Blueland reprisals fits such a low‑risk, deterrent posture and does not conflict with an economic‑first strategy."/>
    <n v="0.55000000000000004"/>
    <s v="The evidence relates to military posture rather than explicit statements about economic policy, so the match is indirect. Defensive military behavior is consistent with avoiding escalation, supporting moderate confidence but not strong certainty."/>
    <s v="Yes"/>
    <s v="Yes"/>
    <s v="No"/>
    <m/>
    <m/>
  </r>
  <r>
    <s v="F9E05D8C-E305-4CBA-A489-DFB90A0252AD"/>
    <n v="7374"/>
    <n v="9"/>
    <s v="Diplomatic"/>
    <x v="1"/>
    <s v="SA-6 units deployed near the Border Zone in March were vacated by May 2025."/>
    <s v="Within 3-6 months, Redland will prioritize UN- and third-party diplomacy to isolate Blueland/the Federation, observable through proposed UN agenda items or resolutions, intensified ambassadorial outreach, public coalition-building visits, and consistent multilateral messaging framing Blueland as responsible or isolated."/>
    <x v="3"/>
    <s v="Withdrawing SA-6 batteries from forward March positions by May is compatible with a strategy that emphasizes diplomacy because it reduces the visible offensive military posture and lowers incident risk that could jeopardize international lobbying. The movement does not prove the hypothesis but aligns with it and does not contradict it."/>
    <n v="0.55000000000000004"/>
    <s v="The underlying fact (movement of SAM units) is concrete and directly relevant, giving moderate evidentiary value. The link from that movement to an intentional diplomacy-first strategic shift is inferential and could be explained by other operational reasons, so overall confidence in the hypothesis given this evidence is moderate rather than high."/>
    <s v="Yes"/>
    <s v="Yes"/>
    <s v="No"/>
    <s v="This could be interpreted many different ways"/>
    <m/>
  </r>
  <r>
    <s v="F9E556E1-77A6-47F3-A99D-9A28224DF013"/>
    <n v="5123"/>
    <n v="4"/>
    <s v="Information"/>
    <x v="3"/>
    <s v="A Redland Presidential Advisor described three strategic options (freeze, final agreement with concessions, or military action) and privately judged military action 'too adventurous.'"/>
    <s v="Over the next 3–6 months, Redland emphasizes narratives blaming external actors for economic hardship and highlights readiness/civil defense to maintain regime legitimacy without committing to near‑term combat; observables: state media themes, civil defense campaigns, mobilization of reserves for domestic roles, and stepped‑up repression of dissent."/>
    <x v="0"/>
    <s v="If Redland is mainly focused on domestic-legitimacy messaging rather than preparing to fight, we would expect senior advisers to judge an early attack as too risky and to frame military action as an unattractive option. The advisor’s remark that war is &quot;too adventurous&quot; directly matches that expectation and therefore strongly supports the hypothesis."/>
    <n v="0.65"/>
    <s v="The evidence is explicit, attributed to a named insider, and directly addresses leadership’s appetite for war, making it highly relevant. However, it is a single source/remark, leaving open the possibility that other advisers or leaders hold different views, so confidence is moderate rather than high."/>
    <s v="Yes"/>
    <s v="Yes"/>
    <s v="No"/>
    <m/>
    <m/>
  </r>
  <r>
    <s v="FA63D58C-7EC4-437D-B18E-54A79CAF5E25"/>
    <n v="2862"/>
    <n v="10"/>
    <s v="Economic"/>
    <x v="1"/>
    <s v="Analysts assumed most observed Redland military movements were defensive reactions to fear of Blueland reprisal for the Mirage transfer."/>
    <s v="Within 3–6 months, Redland pursues economic realignment by expanding outreach to Western investment, trade, and finance (limited market-opening and commercial diplomacy) to improve fiscal resilience and bargaining leverage; observable by investor roadshows, new commercial agreements, legal or regulatory signaling, and moderated rhetoric toward the West."/>
    <x v="3"/>
    <s v="A strategy aimed at courting Western investment would favor avoiding actions likely to trigger war and frighten off investors; a defensive military posture interpreted as fear of reprisals is compatible with such a conciliatory economic strategy. The available evidence supports this linkage but does not directly prove the existence of an active economic opening policy, so the fit is plausible but not definitive."/>
    <n v="0.55000000000000004"/>
    <s v="Moderate confidence because the inference is reasonable but indirect: the evidence shows a non‑provocative military stance (expert assessment) but lacks direct evidence of economic outreach, official policy statements, or changes in economic behavior that would more strongly confirm the hypothesis."/>
    <s v="Yes"/>
    <s v="Yes"/>
    <s v="No"/>
    <s v="Not connect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CE1A5-A591-42D6-91EE-2ACE6D244B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pivotFields count="16">
    <pivotField showAll="0"/>
    <pivotField dataField="1" showAll="0"/>
    <pivotField showAll="0"/>
    <pivotField showAll="0"/>
    <pivotField axis="axisRow" showAll="0">
      <items count="5">
        <item x="0"/>
        <item x="2"/>
        <item x="1"/>
        <item x="3"/>
        <item t="default"/>
      </items>
    </pivotField>
    <pivotField showAll="0"/>
    <pivotField showAll="0"/>
    <pivotField axis="axisCol" showAll="0">
      <items count="6">
        <item x="4"/>
        <item x="1"/>
        <item x="3"/>
        <item x="0"/>
        <item x="2"/>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7"/>
  </colFields>
  <colItems count="6">
    <i>
      <x/>
    </i>
    <i>
      <x v="1"/>
    </i>
    <i>
      <x v="2"/>
    </i>
    <i>
      <x v="3"/>
    </i>
    <i>
      <x v="4"/>
    </i>
    <i t="grand">
      <x/>
    </i>
  </colItems>
  <dataFields count="1">
    <dataField name="Count of EvaluationSK"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35942-5060-47BF-813E-1911A902793B}" name="Table1" displayName="Table1" ref="A1:Q81" totalsRowShown="0" headerRowDxfId="15" headerRowBorderDxfId="14" tableBorderDxfId="13">
  <autoFilter ref="A1:Q81" xr:uid="{BE635942-5060-47BF-813E-1911A902793B}"/>
  <sortState xmlns:xlrd2="http://schemas.microsoft.com/office/spreadsheetml/2017/richdata2" ref="A4:Q81">
    <sortCondition ref="F1:F81"/>
  </sortState>
  <tableColumns count="17">
    <tableColumn id="1" xr3:uid="{E42FE58E-7368-4D47-A287-9CAFF6730247}" name="EvaluationBK"/>
    <tableColumn id="2" xr3:uid="{7383F4CD-B257-47B5-BEE4-25D6CA823D27}" name="EvaluationSK"/>
    <tableColumn id="3" xr3:uid="{0BC2BB0F-A4E8-428E-A318-A9F7DCDBA5B3}" name="ExperimentSK"/>
    <tableColumn id="4" xr3:uid="{6FE5F4C7-6B0C-45AE-A845-342E27874B27}" name="DIME_Domain"/>
    <tableColumn id="9" xr3:uid="{E95E3D1C-6BE3-470F-A0FB-676B899F3402}" name="Agreement" dataDxfId="0">
      <calculatedColumnFormula>IF(Table1[[#This Row],[System_Code]]=Table1[[#This Row],[My_Code]], "Exact", IF(ABS(Table1[[#This Row],[System_Code]]-Table1[[#This Row],[My_Code]])=1, "Adjacent", IF(OR(Table1[[#This Row],[System_Code]]=0, Table1[[#This Row],[My_Code]]=0), "Neutral Disagreement", "Directional Disagreement")))</calculatedColumnFormula>
    </tableColumn>
    <tableColumn id="5" xr3:uid="{14C68229-1CB0-4FCA-BFBC-7F25E5E12B52}" name="System_Code" dataDxfId="12"/>
    <tableColumn id="6" xr3:uid="{B6AA323E-AAEE-4F25-AF2C-5C25FFEAE997}" name="Evidence" dataDxfId="11"/>
    <tableColumn id="7" xr3:uid="{6C30BB73-C9D9-4CB8-A1C6-0DB22907DB6E}" name="HypothesisText" dataDxfId="10"/>
    <tableColumn id="8" xr3:uid="{B1C40F99-3735-4DCC-B1EA-8904B945C6CD}" name="My_Code" dataDxfId="9"/>
    <tableColumn id="16" xr3:uid="{C1B19E4B-2B51-4461-AE8B-B082381B6270}" name="ScoreRationale" dataDxfId="8"/>
    <tableColumn id="15" xr3:uid="{271E5286-1A40-46D3-8928-36DC9E27CC5E}" name="ConfidenceScore" dataDxfId="7"/>
    <tableColumn id="14" xr3:uid="{413648E2-FB88-4770-9B99-8E98F66BA6C3}" name="ConfidenceRationale" dataDxfId="6"/>
    <tableColumn id="10" xr3:uid="{ED56354A-5754-48FA-BC17-44042CC10CEF}" name="Rationale_Adequate" dataDxfId="5"/>
    <tableColumn id="11" xr3:uid="{32CA3A55-090B-4EC6-BD41-1BE8AC28A9A2}" name="Confidence_Plausible" dataDxfId="4"/>
    <tableColumn id="12" xr3:uid="{20F72EBA-4C65-4E4E-99D7-7CFF91E586D6}" name="Hallucination_Present" dataDxfId="3"/>
    <tableColumn id="13" xr3:uid="{0A096031-C66A-45AD-852E-524057A16CD4}" name="My Assessment Notes" dataDxfId="2"/>
    <tableColumn id="19" xr3:uid="{9CD707AE-BBE4-4037-B0B9-AA2FECBD0EE9}" name="Notes on Rationales"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EA00C-1FDC-4FAE-89FB-D61AC2AB6B45}">
  <dimension ref="A3:P16"/>
  <sheetViews>
    <sheetView workbookViewId="0">
      <selection activeCell="V19" sqref="V19"/>
    </sheetView>
  </sheetViews>
  <sheetFormatPr defaultRowHeight="15" x14ac:dyDescent="0.25"/>
  <cols>
    <col min="1" max="1" width="20.7109375" bestFit="1" customWidth="1"/>
    <col min="2" max="2" width="3.28515625" customWidth="1"/>
    <col min="3" max="5" width="3" bestFit="1" customWidth="1"/>
    <col min="6" max="6" width="2" bestFit="1" customWidth="1"/>
    <col min="7" max="7" width="11.28515625" bestFit="1" customWidth="1"/>
    <col min="9" max="9" width="9.140625" customWidth="1"/>
    <col min="10" max="10" width="4.28515625" customWidth="1"/>
    <col min="11" max="16" width="4.7109375" style="5" customWidth="1"/>
  </cols>
  <sheetData>
    <row r="3" spans="1:16" x14ac:dyDescent="0.25">
      <c r="A3" s="9" t="s">
        <v>462</v>
      </c>
      <c r="B3" s="9" t="s">
        <v>459</v>
      </c>
    </row>
    <row r="4" spans="1:16" x14ac:dyDescent="0.25">
      <c r="A4" s="9" t="s">
        <v>461</v>
      </c>
      <c r="B4">
        <v>-2</v>
      </c>
      <c r="C4">
        <v>-1</v>
      </c>
      <c r="D4">
        <v>0</v>
      </c>
      <c r="E4">
        <v>1</v>
      </c>
      <c r="F4">
        <v>2</v>
      </c>
      <c r="G4" t="s">
        <v>460</v>
      </c>
    </row>
    <row r="5" spans="1:16" x14ac:dyDescent="0.25">
      <c r="A5" s="10">
        <v>-1</v>
      </c>
      <c r="B5">
        <v>2</v>
      </c>
      <c r="C5">
        <v>6</v>
      </c>
      <c r="D5">
        <v>6</v>
      </c>
      <c r="E5">
        <v>4</v>
      </c>
      <c r="G5">
        <v>18</v>
      </c>
    </row>
    <row r="6" spans="1:16" x14ac:dyDescent="0.25">
      <c r="A6" s="10">
        <v>0</v>
      </c>
      <c r="C6">
        <v>2</v>
      </c>
      <c r="D6">
        <v>8</v>
      </c>
      <c r="E6">
        <v>4</v>
      </c>
      <c r="G6">
        <v>14</v>
      </c>
    </row>
    <row r="7" spans="1:16" x14ac:dyDescent="0.25">
      <c r="A7" s="10">
        <v>1</v>
      </c>
      <c r="C7">
        <v>8</v>
      </c>
      <c r="D7">
        <v>9</v>
      </c>
      <c r="E7">
        <v>21</v>
      </c>
      <c r="F7">
        <v>3</v>
      </c>
      <c r="G7">
        <v>41</v>
      </c>
    </row>
    <row r="8" spans="1:16" x14ac:dyDescent="0.25">
      <c r="A8" s="10">
        <v>2</v>
      </c>
      <c r="D8">
        <v>2</v>
      </c>
      <c r="E8">
        <v>3</v>
      </c>
      <c r="F8">
        <v>2</v>
      </c>
      <c r="G8">
        <v>7</v>
      </c>
    </row>
    <row r="9" spans="1:16" x14ac:dyDescent="0.25">
      <c r="A9" s="10" t="s">
        <v>460</v>
      </c>
      <c r="B9">
        <v>2</v>
      </c>
      <c r="C9">
        <v>16</v>
      </c>
      <c r="D9">
        <v>25</v>
      </c>
      <c r="E9">
        <v>32</v>
      </c>
      <c r="F9">
        <v>5</v>
      </c>
      <c r="G9">
        <v>80</v>
      </c>
    </row>
    <row r="10" spans="1:16" x14ac:dyDescent="0.25">
      <c r="J10" s="11"/>
      <c r="K10" s="12"/>
      <c r="L10" s="19" t="s">
        <v>463</v>
      </c>
      <c r="M10" s="19"/>
      <c r="N10" s="19"/>
      <c r="O10" s="19"/>
      <c r="P10" s="19"/>
    </row>
    <row r="11" spans="1:16" x14ac:dyDescent="0.25">
      <c r="J11" s="13"/>
      <c r="K11" s="14"/>
      <c r="L11" s="15">
        <v>-2</v>
      </c>
      <c r="M11" s="15">
        <v>-1</v>
      </c>
      <c r="N11" s="15">
        <v>0</v>
      </c>
      <c r="O11" s="15">
        <v>1</v>
      </c>
      <c r="P11" s="15">
        <v>2</v>
      </c>
    </row>
    <row r="12" spans="1:16" x14ac:dyDescent="0.25">
      <c r="J12" s="20" t="s">
        <v>464</v>
      </c>
      <c r="K12" s="15">
        <v>-2</v>
      </c>
      <c r="L12" s="16">
        <v>0</v>
      </c>
      <c r="M12" s="16">
        <v>0</v>
      </c>
      <c r="N12" s="16">
        <v>0</v>
      </c>
      <c r="O12" s="16">
        <v>0</v>
      </c>
      <c r="P12" s="16">
        <v>0</v>
      </c>
    </row>
    <row r="13" spans="1:16" x14ac:dyDescent="0.25">
      <c r="J13" s="20"/>
      <c r="K13" s="17">
        <v>-1</v>
      </c>
      <c r="L13" s="18">
        <v>2</v>
      </c>
      <c r="M13" s="18">
        <v>6</v>
      </c>
      <c r="N13" s="18">
        <v>6</v>
      </c>
      <c r="O13" s="18">
        <v>4</v>
      </c>
      <c r="P13" s="18">
        <v>0</v>
      </c>
    </row>
    <row r="14" spans="1:16" x14ac:dyDescent="0.25">
      <c r="J14" s="20"/>
      <c r="K14" s="17">
        <v>0</v>
      </c>
      <c r="L14" s="18">
        <v>0</v>
      </c>
      <c r="M14" s="18">
        <v>2</v>
      </c>
      <c r="N14" s="18">
        <v>8</v>
      </c>
      <c r="O14" s="18">
        <v>4</v>
      </c>
      <c r="P14" s="18">
        <v>0</v>
      </c>
    </row>
    <row r="15" spans="1:16" x14ac:dyDescent="0.25">
      <c r="J15" s="20"/>
      <c r="K15" s="17">
        <v>1</v>
      </c>
      <c r="L15" s="18">
        <v>0</v>
      </c>
      <c r="M15" s="18">
        <v>8</v>
      </c>
      <c r="N15" s="18">
        <v>9</v>
      </c>
      <c r="O15" s="18">
        <v>21</v>
      </c>
      <c r="P15" s="18">
        <v>3</v>
      </c>
    </row>
    <row r="16" spans="1:16" x14ac:dyDescent="0.25">
      <c r="J16" s="20"/>
      <c r="K16" s="17">
        <v>2</v>
      </c>
      <c r="L16" s="18">
        <v>0</v>
      </c>
      <c r="M16" s="18">
        <v>0</v>
      </c>
      <c r="N16" s="18">
        <v>2</v>
      </c>
      <c r="O16" s="18">
        <v>3</v>
      </c>
      <c r="P16" s="18">
        <v>2</v>
      </c>
    </row>
  </sheetData>
  <mergeCells count="2">
    <mergeCell ref="L10:P10"/>
    <mergeCell ref="J12:J16"/>
  </mergeCells>
  <conditionalFormatting sqref="L12:P16">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topLeftCell="G1" workbookViewId="0">
      <selection activeCell="P81" sqref="P81"/>
    </sheetView>
  </sheetViews>
  <sheetFormatPr defaultColWidth="22.85546875" defaultRowHeight="16.5" customHeight="1" x14ac:dyDescent="0.25"/>
  <cols>
    <col min="6" max="6" width="22.85546875" style="5"/>
    <col min="7" max="8" width="22.85546875" style="8"/>
    <col min="9" max="9" width="22.85546875" style="5"/>
    <col min="10" max="12" width="22.85546875" style="8"/>
    <col min="13" max="16" width="22.85546875" style="1"/>
    <col min="17" max="17" width="22.85546875" style="6"/>
  </cols>
  <sheetData>
    <row r="1" spans="1:17" ht="16.5" customHeight="1" x14ac:dyDescent="0.25">
      <c r="A1" s="2" t="s">
        <v>0</v>
      </c>
      <c r="B1" s="2" t="s">
        <v>1</v>
      </c>
      <c r="C1" s="2" t="s">
        <v>2</v>
      </c>
      <c r="D1" s="2" t="s">
        <v>3</v>
      </c>
      <c r="E1" s="2" t="s">
        <v>466</v>
      </c>
      <c r="F1" s="4" t="s">
        <v>4</v>
      </c>
      <c r="G1" s="7" t="s">
        <v>5</v>
      </c>
      <c r="H1" s="7" t="s">
        <v>6</v>
      </c>
      <c r="I1" s="4" t="s">
        <v>442</v>
      </c>
      <c r="J1" s="7" t="s">
        <v>439</v>
      </c>
      <c r="K1" s="7" t="s">
        <v>440</v>
      </c>
      <c r="L1" s="7" t="s">
        <v>441</v>
      </c>
      <c r="M1" s="3" t="s">
        <v>7</v>
      </c>
      <c r="N1" s="3" t="s">
        <v>8</v>
      </c>
      <c r="O1" s="3" t="s">
        <v>9</v>
      </c>
      <c r="P1" s="3" t="s">
        <v>445</v>
      </c>
      <c r="Q1" s="2" t="s">
        <v>446</v>
      </c>
    </row>
    <row r="2" spans="1:17" ht="16.5" customHeight="1" x14ac:dyDescent="0.25">
      <c r="A2" t="s">
        <v>37</v>
      </c>
      <c r="B2">
        <v>4007</v>
      </c>
      <c r="C2">
        <v>4</v>
      </c>
      <c r="D2" t="s">
        <v>38</v>
      </c>
      <c r="E2" t="str">
        <f>IF(Table1[[#This Row],[System_Code]]=Table1[[#This Row],[My_Code]], "Exact", IF(ABS(Table1[[#This Row],[System_Code]]-Table1[[#This Row],[My_Code]])=1, "Adjacent", IF(OR(Table1[[#This Row],[System_Code]]=0, Table1[[#This Row],[My_Code]]=0), "Neutral Disagreement", "Directional Disagreement")))</f>
        <v>Adjacent</v>
      </c>
      <c r="F2" s="5">
        <v>-1</v>
      </c>
      <c r="G2" s="8" t="s">
        <v>12</v>
      </c>
      <c r="H2" s="8" t="s">
        <v>39</v>
      </c>
      <c r="I2" s="5">
        <v>-2</v>
      </c>
      <c r="J2" s="1" t="s">
        <v>385</v>
      </c>
      <c r="K2" s="1">
        <v>0.75</v>
      </c>
      <c r="L2" s="1" t="s">
        <v>386</v>
      </c>
      <c r="M2" s="1" t="s">
        <v>443</v>
      </c>
      <c r="N2" s="1" t="s">
        <v>443</v>
      </c>
      <c r="O2" s="1" t="s">
        <v>444</v>
      </c>
      <c r="P2" s="6" t="s">
        <v>240</v>
      </c>
      <c r="Q2" s="1"/>
    </row>
    <row r="3" spans="1:17" ht="16.5" customHeight="1" x14ac:dyDescent="0.25">
      <c r="A3" t="s">
        <v>46</v>
      </c>
      <c r="B3">
        <v>8183</v>
      </c>
      <c r="C3">
        <v>3</v>
      </c>
      <c r="D3" t="s">
        <v>18</v>
      </c>
      <c r="E3" t="str">
        <f>IF(Table1[[#This Row],[System_Code]]=Table1[[#This Row],[My_Code]], "Exact", IF(ABS(Table1[[#This Row],[System_Code]]-Table1[[#This Row],[My_Code]])=1, "Adjacent", IF(OR(Table1[[#This Row],[System_Code]]=0, Table1[[#This Row],[My_Code]]=0), "Neutral Disagreement", "Directional Disagreement")))</f>
        <v>Adjacent</v>
      </c>
      <c r="F3" s="5">
        <v>-1</v>
      </c>
      <c r="G3" s="8" t="s">
        <v>47</v>
      </c>
      <c r="H3" s="8" t="s">
        <v>48</v>
      </c>
      <c r="I3" s="5">
        <v>-2</v>
      </c>
      <c r="J3" s="1" t="s">
        <v>327</v>
      </c>
      <c r="K3" s="1">
        <v>0.65</v>
      </c>
      <c r="L3" s="1" t="s">
        <v>328</v>
      </c>
      <c r="M3" s="1" t="s">
        <v>443</v>
      </c>
      <c r="N3" s="1" t="s">
        <v>443</v>
      </c>
      <c r="O3" s="1" t="s">
        <v>444</v>
      </c>
      <c r="P3" s="6" t="s">
        <v>243</v>
      </c>
      <c r="Q3" s="1"/>
    </row>
    <row r="4" spans="1:17" ht="16.5" customHeight="1" x14ac:dyDescent="0.25">
      <c r="A4" t="s">
        <v>14</v>
      </c>
      <c r="B4">
        <v>2432</v>
      </c>
      <c r="C4">
        <v>7</v>
      </c>
      <c r="D4" t="s">
        <v>11</v>
      </c>
      <c r="E4" t="str">
        <f>IF(Table1[[#This Row],[System_Code]]=Table1[[#This Row],[My_Code]], "Exact", IF(ABS(Table1[[#This Row],[System_Code]]-Table1[[#This Row],[My_Code]])=1, "Adjacent", IF(OR(Table1[[#This Row],[System_Code]]=0, Table1[[#This Row],[My_Code]]=0), "Neutral Disagreement", "Directional Disagreement")))</f>
        <v>Exact</v>
      </c>
      <c r="F4" s="5">
        <v>-1</v>
      </c>
      <c r="G4" s="8" t="s">
        <v>15</v>
      </c>
      <c r="H4" s="8" t="s">
        <v>16</v>
      </c>
      <c r="I4" s="5">
        <v>-1</v>
      </c>
      <c r="J4" s="1" t="s">
        <v>335</v>
      </c>
      <c r="K4" s="1">
        <v>0.75</v>
      </c>
      <c r="L4" s="1" t="s">
        <v>336</v>
      </c>
      <c r="M4" s="1" t="s">
        <v>443</v>
      </c>
      <c r="N4" s="1" t="s">
        <v>443</v>
      </c>
      <c r="O4" s="1" t="s">
        <v>444</v>
      </c>
      <c r="P4" s="6" t="s">
        <v>233</v>
      </c>
      <c r="Q4" s="1"/>
    </row>
    <row r="5" spans="1:17" ht="16.5" customHeight="1" x14ac:dyDescent="0.25">
      <c r="A5" t="s">
        <v>10</v>
      </c>
      <c r="B5">
        <v>1076</v>
      </c>
      <c r="C5">
        <v>4</v>
      </c>
      <c r="D5" t="s">
        <v>11</v>
      </c>
      <c r="E5" t="str">
        <f>IF(Table1[[#This Row],[System_Code]]=Table1[[#This Row],[My_Code]], "Exact", IF(ABS(Table1[[#This Row],[System_Code]]-Table1[[#This Row],[My_Code]])=1, "Adjacent", IF(OR(Table1[[#This Row],[System_Code]]=0, Table1[[#This Row],[My_Code]]=0), "Neutral Disagreement", "Directional Disagreement")))</f>
        <v>Exact</v>
      </c>
      <c r="F5" s="5">
        <v>-1</v>
      </c>
      <c r="G5" s="8" t="s">
        <v>12</v>
      </c>
      <c r="H5" s="8" t="s">
        <v>13</v>
      </c>
      <c r="I5" s="5">
        <v>-1</v>
      </c>
      <c r="J5" s="1" t="s">
        <v>393</v>
      </c>
      <c r="K5" s="1">
        <v>0.75</v>
      </c>
      <c r="L5" s="1" t="s">
        <v>394</v>
      </c>
      <c r="M5" s="1" t="s">
        <v>443</v>
      </c>
      <c r="N5" s="1" t="s">
        <v>443</v>
      </c>
      <c r="O5" s="1" t="s">
        <v>444</v>
      </c>
      <c r="P5" s="6" t="s">
        <v>232</v>
      </c>
      <c r="Q5" s="1"/>
    </row>
    <row r="6" spans="1:17" ht="16.5" customHeight="1" x14ac:dyDescent="0.25">
      <c r="A6" t="s">
        <v>62</v>
      </c>
      <c r="B6">
        <v>1645</v>
      </c>
      <c r="C6">
        <v>3</v>
      </c>
      <c r="D6" t="s">
        <v>25</v>
      </c>
      <c r="E6" t="str">
        <f>IF(Table1[[#This Row],[System_Code]]=Table1[[#This Row],[My_Code]], "Exact", IF(ABS(Table1[[#This Row],[System_Code]]-Table1[[#This Row],[My_Code]])=1, "Adjacent", IF(OR(Table1[[#This Row],[System_Code]]=0, Table1[[#This Row],[My_Code]]=0), "Neutral Disagreement", "Directional Disagreement")))</f>
        <v>Exact</v>
      </c>
      <c r="F6" s="5">
        <v>-1</v>
      </c>
      <c r="G6" s="8" t="s">
        <v>63</v>
      </c>
      <c r="H6" s="8" t="s">
        <v>64</v>
      </c>
      <c r="I6" s="5">
        <v>-1</v>
      </c>
      <c r="J6" s="1" t="s">
        <v>427</v>
      </c>
      <c r="K6" s="1">
        <v>0.63</v>
      </c>
      <c r="L6" s="1" t="s">
        <v>428</v>
      </c>
      <c r="M6" s="1" t="s">
        <v>443</v>
      </c>
      <c r="N6" s="1" t="s">
        <v>443</v>
      </c>
      <c r="O6" s="1" t="s">
        <v>444</v>
      </c>
      <c r="P6" s="6"/>
      <c r="Q6" s="1"/>
    </row>
    <row r="7" spans="1:17" ht="16.5" customHeight="1" x14ac:dyDescent="0.25">
      <c r="A7" t="s">
        <v>17</v>
      </c>
      <c r="B7">
        <v>5514</v>
      </c>
      <c r="C7">
        <v>6</v>
      </c>
      <c r="D7" t="s">
        <v>18</v>
      </c>
      <c r="E7" t="str">
        <f>IF(Table1[[#This Row],[System_Code]]=Table1[[#This Row],[My_Code]], "Exact", IF(ABS(Table1[[#This Row],[System_Code]]-Table1[[#This Row],[My_Code]])=1, "Adjacent", IF(OR(Table1[[#This Row],[System_Code]]=0, Table1[[#This Row],[My_Code]]=0), "Neutral Disagreement", "Directional Disagreement")))</f>
        <v>Exact</v>
      </c>
      <c r="F7" s="5">
        <v>-1</v>
      </c>
      <c r="G7" s="8" t="s">
        <v>19</v>
      </c>
      <c r="H7" s="8" t="s">
        <v>20</v>
      </c>
      <c r="I7" s="5">
        <v>-1</v>
      </c>
      <c r="J7" s="1" t="s">
        <v>371</v>
      </c>
      <c r="K7" s="1">
        <v>0.61</v>
      </c>
      <c r="L7" s="1" t="s">
        <v>372</v>
      </c>
      <c r="M7" s="1" t="s">
        <v>443</v>
      </c>
      <c r="N7" s="1" t="s">
        <v>443</v>
      </c>
      <c r="O7" s="1" t="s">
        <v>444</v>
      </c>
      <c r="P7" s="6" t="s">
        <v>234</v>
      </c>
      <c r="Q7" s="1"/>
    </row>
    <row r="8" spans="1:17" ht="16.5" customHeight="1" x14ac:dyDescent="0.25">
      <c r="A8" t="s">
        <v>56</v>
      </c>
      <c r="B8">
        <v>1782</v>
      </c>
      <c r="C8">
        <v>5</v>
      </c>
      <c r="D8" t="s">
        <v>18</v>
      </c>
      <c r="E8" t="str">
        <f>IF(Table1[[#This Row],[System_Code]]=Table1[[#This Row],[My_Code]], "Exact", IF(ABS(Table1[[#This Row],[System_Code]]-Table1[[#This Row],[My_Code]])=1, "Adjacent", IF(OR(Table1[[#This Row],[System_Code]]=0, Table1[[#This Row],[My_Code]]=0), "Neutral Disagreement", "Directional Disagreement")))</f>
        <v>Exact</v>
      </c>
      <c r="F8" s="5">
        <v>-1</v>
      </c>
      <c r="G8" s="8" t="s">
        <v>57</v>
      </c>
      <c r="H8" s="8" t="s">
        <v>58</v>
      </c>
      <c r="I8" s="5">
        <v>-1</v>
      </c>
      <c r="J8" s="1" t="s">
        <v>283</v>
      </c>
      <c r="K8" s="1">
        <v>0.6</v>
      </c>
      <c r="L8" s="1" t="s">
        <v>284</v>
      </c>
      <c r="M8" s="1" t="s">
        <v>443</v>
      </c>
      <c r="N8" s="1" t="s">
        <v>443</v>
      </c>
      <c r="O8" s="1" t="s">
        <v>444</v>
      </c>
      <c r="P8" s="6" t="s">
        <v>247</v>
      </c>
      <c r="Q8" s="1"/>
    </row>
    <row r="9" spans="1:17" ht="16.5" customHeight="1" x14ac:dyDescent="0.25">
      <c r="A9" t="s">
        <v>59</v>
      </c>
      <c r="B9">
        <v>4766</v>
      </c>
      <c r="C9">
        <v>8</v>
      </c>
      <c r="D9" t="s">
        <v>11</v>
      </c>
      <c r="E9" t="str">
        <f>IF(Table1[[#This Row],[System_Code]]=Table1[[#This Row],[My_Code]], "Exact", IF(ABS(Table1[[#This Row],[System_Code]]-Table1[[#This Row],[My_Code]])=1, "Adjacent", IF(OR(Table1[[#This Row],[System_Code]]=0, Table1[[#This Row],[My_Code]]=0), "Neutral Disagreement", "Directional Disagreement")))</f>
        <v>Exact</v>
      </c>
      <c r="F9" s="5">
        <v>-1</v>
      </c>
      <c r="G9" s="8" t="s">
        <v>60</v>
      </c>
      <c r="H9" s="8" t="s">
        <v>61</v>
      </c>
      <c r="I9" s="5">
        <v>-1</v>
      </c>
      <c r="J9" s="1" t="s">
        <v>313</v>
      </c>
      <c r="K9" s="1">
        <v>0.55000000000000004</v>
      </c>
      <c r="L9" s="1" t="s">
        <v>314</v>
      </c>
      <c r="M9" s="1" t="s">
        <v>443</v>
      </c>
      <c r="N9" s="1" t="s">
        <v>443</v>
      </c>
      <c r="O9" s="1" t="s">
        <v>444</v>
      </c>
      <c r="P9" s="6" t="s">
        <v>248</v>
      </c>
      <c r="Q9" s="1"/>
    </row>
    <row r="10" spans="1:17" ht="16.5" customHeight="1" x14ac:dyDescent="0.25">
      <c r="A10" t="s">
        <v>78</v>
      </c>
      <c r="B10">
        <v>2392</v>
      </c>
      <c r="C10">
        <v>1</v>
      </c>
      <c r="D10" t="s">
        <v>18</v>
      </c>
      <c r="E10" t="str">
        <f>IF(Table1[[#This Row],[System_Code]]=Table1[[#This Row],[My_Code]], "Exact", IF(ABS(Table1[[#This Row],[System_Code]]-Table1[[#This Row],[My_Code]])=1, "Adjacent", IF(OR(Table1[[#This Row],[System_Code]]=0, Table1[[#This Row],[My_Code]]=0), "Neutral Disagreement", "Directional Disagreement")))</f>
        <v>Adjacent</v>
      </c>
      <c r="F10" s="5">
        <v>0</v>
      </c>
      <c r="G10" s="8" t="s">
        <v>79</v>
      </c>
      <c r="H10" s="8" t="s">
        <v>80</v>
      </c>
      <c r="I10" s="5">
        <v>-1</v>
      </c>
      <c r="J10" s="1" t="s">
        <v>303</v>
      </c>
      <c r="K10" s="1">
        <v>0.35</v>
      </c>
      <c r="L10" s="1" t="s">
        <v>304</v>
      </c>
      <c r="M10" s="1" t="s">
        <v>443</v>
      </c>
      <c r="N10" s="1" t="s">
        <v>443</v>
      </c>
      <c r="O10" s="1" t="s">
        <v>444</v>
      </c>
      <c r="P10" s="6" t="s">
        <v>254</v>
      </c>
      <c r="Q10" s="1"/>
    </row>
    <row r="11" spans="1:17" ht="16.5" customHeight="1" x14ac:dyDescent="0.25">
      <c r="A11" t="s">
        <v>84</v>
      </c>
      <c r="B11">
        <v>1401</v>
      </c>
      <c r="C11">
        <v>9</v>
      </c>
      <c r="D11" t="s">
        <v>38</v>
      </c>
      <c r="E11" t="str">
        <f>IF(Table1[[#This Row],[System_Code]]=Table1[[#This Row],[My_Code]], "Exact", IF(ABS(Table1[[#This Row],[System_Code]]-Table1[[#This Row],[My_Code]])=1, "Adjacent", IF(OR(Table1[[#This Row],[System_Code]]=0, Table1[[#This Row],[My_Code]]=0), "Neutral Disagreement", "Directional Disagreement")))</f>
        <v>Adjacent</v>
      </c>
      <c r="F11" s="5">
        <v>0</v>
      </c>
      <c r="G11" s="8" t="s">
        <v>85</v>
      </c>
      <c r="H11" s="8" t="s">
        <v>86</v>
      </c>
      <c r="I11" s="5">
        <v>-1</v>
      </c>
      <c r="J11" s="1" t="s">
        <v>405</v>
      </c>
      <c r="K11" s="1">
        <v>0.35</v>
      </c>
      <c r="L11" s="1" t="s">
        <v>406</v>
      </c>
      <c r="M11" s="1" t="s">
        <v>443</v>
      </c>
      <c r="N11" s="1" t="s">
        <v>443</v>
      </c>
      <c r="O11" s="1" t="s">
        <v>444</v>
      </c>
      <c r="P11" s="6" t="s">
        <v>256</v>
      </c>
      <c r="Q11" s="1" t="s">
        <v>465</v>
      </c>
    </row>
    <row r="12" spans="1:17" ht="16.5" customHeight="1" x14ac:dyDescent="0.25">
      <c r="A12" t="s">
        <v>201</v>
      </c>
      <c r="B12">
        <v>253</v>
      </c>
      <c r="C12">
        <v>4</v>
      </c>
      <c r="D12" t="s">
        <v>11</v>
      </c>
      <c r="E12" t="str">
        <f>IF(Table1[[#This Row],[System_Code]]=Table1[[#This Row],[My_Code]], "Exact", IF(ABS(Table1[[#This Row],[System_Code]]-Table1[[#This Row],[My_Code]])=1, "Adjacent", IF(OR(Table1[[#This Row],[System_Code]]=0, Table1[[#This Row],[My_Code]]=0), "Neutral Disagreement", "Directional Disagreement")))</f>
        <v>Directional Disagreement</v>
      </c>
      <c r="F12" s="5">
        <v>1</v>
      </c>
      <c r="G12" s="8" t="s">
        <v>202</v>
      </c>
      <c r="H12" s="8" t="s">
        <v>13</v>
      </c>
      <c r="I12" s="5">
        <v>-1</v>
      </c>
      <c r="J12" s="1" t="s">
        <v>307</v>
      </c>
      <c r="K12" s="1">
        <v>0.55000000000000004</v>
      </c>
      <c r="L12" s="1" t="s">
        <v>308</v>
      </c>
      <c r="M12" s="1" t="s">
        <v>443</v>
      </c>
      <c r="N12" s="1" t="s">
        <v>443</v>
      </c>
      <c r="O12" s="1" t="s">
        <v>444</v>
      </c>
      <c r="P12" s="6"/>
      <c r="Q12" s="1"/>
    </row>
    <row r="13" spans="1:17" ht="16.5" customHeight="1" x14ac:dyDescent="0.25">
      <c r="A13" t="s">
        <v>131</v>
      </c>
      <c r="B13">
        <v>184</v>
      </c>
      <c r="C13">
        <v>3</v>
      </c>
      <c r="D13" t="s">
        <v>18</v>
      </c>
      <c r="E13" t="str">
        <f>IF(Table1[[#This Row],[System_Code]]=Table1[[#This Row],[My_Code]], "Exact", IF(ABS(Table1[[#This Row],[System_Code]]-Table1[[#This Row],[My_Code]])=1, "Adjacent", IF(OR(Table1[[#This Row],[System_Code]]=0, Table1[[#This Row],[My_Code]]=0), "Neutral Disagreement", "Directional Disagreement")))</f>
        <v>Directional Disagreement</v>
      </c>
      <c r="F13" s="5">
        <v>1</v>
      </c>
      <c r="G13" s="8" t="s">
        <v>132</v>
      </c>
      <c r="H13" s="8" t="s">
        <v>133</v>
      </c>
      <c r="I13" s="5">
        <v>-1</v>
      </c>
      <c r="J13" s="1" t="s">
        <v>323</v>
      </c>
      <c r="K13" s="1">
        <v>0.55000000000000004</v>
      </c>
      <c r="L13" s="1" t="s">
        <v>324</v>
      </c>
      <c r="M13" s="1" t="s">
        <v>443</v>
      </c>
      <c r="N13" s="1" t="s">
        <v>443</v>
      </c>
      <c r="O13" s="1" t="s">
        <v>444</v>
      </c>
      <c r="P13" s="6" t="s">
        <v>269</v>
      </c>
      <c r="Q13" s="1"/>
    </row>
    <row r="14" spans="1:17" ht="16.5" customHeight="1" x14ac:dyDescent="0.25">
      <c r="A14" t="s">
        <v>128</v>
      </c>
      <c r="B14">
        <v>1551</v>
      </c>
      <c r="C14">
        <v>1</v>
      </c>
      <c r="D14" t="s">
        <v>18</v>
      </c>
      <c r="E14" t="str">
        <f>IF(Table1[[#This Row],[System_Code]]=Table1[[#This Row],[My_Code]], "Exact", IF(ABS(Table1[[#This Row],[System_Code]]-Table1[[#This Row],[My_Code]])=1, "Adjacent", IF(OR(Table1[[#This Row],[System_Code]]=0, Table1[[#This Row],[My_Code]]=0), "Neutral Disagreement", "Directional Disagreement")))</f>
        <v>Directional Disagreement</v>
      </c>
      <c r="F14" s="5">
        <v>1</v>
      </c>
      <c r="G14" s="8" t="s">
        <v>129</v>
      </c>
      <c r="H14" s="8" t="s">
        <v>130</v>
      </c>
      <c r="I14" s="5">
        <v>-1</v>
      </c>
      <c r="J14" s="1" t="s">
        <v>353</v>
      </c>
      <c r="K14" s="1">
        <v>0.55000000000000004</v>
      </c>
      <c r="L14" s="1" t="s">
        <v>354</v>
      </c>
      <c r="M14" s="1" t="s">
        <v>443</v>
      </c>
      <c r="N14" s="1" t="s">
        <v>443</v>
      </c>
      <c r="O14" s="1" t="s">
        <v>444</v>
      </c>
      <c r="P14" s="6" t="s">
        <v>268</v>
      </c>
      <c r="Q14" s="1"/>
    </row>
    <row r="15" spans="1:17" ht="16.5" customHeight="1" x14ac:dyDescent="0.25">
      <c r="A15" t="s">
        <v>210</v>
      </c>
      <c r="B15">
        <v>5167</v>
      </c>
      <c r="C15">
        <v>3</v>
      </c>
      <c r="D15" t="s">
        <v>25</v>
      </c>
      <c r="E15" t="str">
        <f>IF(Table1[[#This Row],[System_Code]]=Table1[[#This Row],[My_Code]], "Exact", IF(ABS(Table1[[#This Row],[System_Code]]-Table1[[#This Row],[My_Code]])=1, "Adjacent", IF(OR(Table1[[#This Row],[System_Code]]=0, Table1[[#This Row],[My_Code]]=0), "Neutral Disagreement", "Directional Disagreement")))</f>
        <v>Directional Disagreement</v>
      </c>
      <c r="F15" s="5">
        <v>1</v>
      </c>
      <c r="G15" s="8" t="s">
        <v>211</v>
      </c>
      <c r="H15" s="8" t="s">
        <v>212</v>
      </c>
      <c r="I15" s="5">
        <v>-1</v>
      </c>
      <c r="J15" s="1" t="s">
        <v>379</v>
      </c>
      <c r="K15" s="1">
        <v>0.55000000000000004</v>
      </c>
      <c r="L15" s="1" t="s">
        <v>380</v>
      </c>
      <c r="M15" s="1" t="s">
        <v>443</v>
      </c>
      <c r="N15" s="1" t="s">
        <v>443</v>
      </c>
      <c r="O15" s="1" t="s">
        <v>444</v>
      </c>
      <c r="P15" s="6"/>
      <c r="Q15" s="1" t="s">
        <v>450</v>
      </c>
    </row>
    <row r="16" spans="1:17" ht="16.5" customHeight="1" x14ac:dyDescent="0.25">
      <c r="A16" t="s">
        <v>108</v>
      </c>
      <c r="B16">
        <v>8333</v>
      </c>
      <c r="C16">
        <v>8</v>
      </c>
      <c r="D16" t="s">
        <v>38</v>
      </c>
      <c r="E16" t="str">
        <f>IF(Table1[[#This Row],[System_Code]]=Table1[[#This Row],[My_Code]], "Exact", IF(ABS(Table1[[#This Row],[System_Code]]-Table1[[#This Row],[My_Code]])=1, "Adjacent", IF(OR(Table1[[#This Row],[System_Code]]=0, Table1[[#This Row],[My_Code]]=0), "Neutral Disagreement", "Directional Disagreement")))</f>
        <v>Directional Disagreement</v>
      </c>
      <c r="F16" s="5">
        <v>1</v>
      </c>
      <c r="G16" s="8" t="s">
        <v>109</v>
      </c>
      <c r="H16" s="8" t="s">
        <v>110</v>
      </c>
      <c r="I16" s="5">
        <v>-1</v>
      </c>
      <c r="J16" s="1" t="s">
        <v>387</v>
      </c>
      <c r="K16" s="1">
        <v>0.55000000000000004</v>
      </c>
      <c r="L16" s="1" t="s">
        <v>388</v>
      </c>
      <c r="M16" s="1" t="s">
        <v>443</v>
      </c>
      <c r="N16" s="1" t="s">
        <v>443</v>
      </c>
      <c r="O16" s="1" t="s">
        <v>444</v>
      </c>
      <c r="P16" s="6" t="s">
        <v>261</v>
      </c>
      <c r="Q16" s="1"/>
    </row>
    <row r="17" spans="1:17" ht="16.5" customHeight="1" x14ac:dyDescent="0.25">
      <c r="A17" t="s">
        <v>145</v>
      </c>
      <c r="B17">
        <v>918</v>
      </c>
      <c r="C17">
        <v>2</v>
      </c>
      <c r="D17" t="s">
        <v>18</v>
      </c>
      <c r="E17" t="str">
        <f>IF(Table1[[#This Row],[System_Code]]=Table1[[#This Row],[My_Code]], "Exact", IF(ABS(Table1[[#This Row],[System_Code]]-Table1[[#This Row],[My_Code]])=1, "Adjacent", IF(OR(Table1[[#This Row],[System_Code]]=0, Table1[[#This Row],[My_Code]]=0), "Neutral Disagreement", "Directional Disagreement")))</f>
        <v>Directional Disagreement</v>
      </c>
      <c r="F17" s="5">
        <v>1</v>
      </c>
      <c r="G17" s="8" t="s">
        <v>146</v>
      </c>
      <c r="H17" s="8" t="s">
        <v>138</v>
      </c>
      <c r="I17" s="5">
        <v>-1</v>
      </c>
      <c r="J17" s="1" t="s">
        <v>299</v>
      </c>
      <c r="K17" s="1">
        <v>0.45</v>
      </c>
      <c r="L17" s="1" t="s">
        <v>300</v>
      </c>
      <c r="M17" s="1" t="s">
        <v>443</v>
      </c>
      <c r="N17" s="1" t="s">
        <v>443</v>
      </c>
      <c r="O17" s="1" t="s">
        <v>444</v>
      </c>
      <c r="P17" s="6" t="s">
        <v>273</v>
      </c>
      <c r="Q17" s="1"/>
    </row>
    <row r="18" spans="1:17" ht="16.5" customHeight="1" x14ac:dyDescent="0.25">
      <c r="A18" t="s">
        <v>111</v>
      </c>
      <c r="B18">
        <v>4403</v>
      </c>
      <c r="C18">
        <v>1</v>
      </c>
      <c r="D18" t="s">
        <v>38</v>
      </c>
      <c r="E18" t="str">
        <f>IF(Table1[[#This Row],[System_Code]]=Table1[[#This Row],[My_Code]], "Exact", IF(ABS(Table1[[#This Row],[System_Code]]-Table1[[#This Row],[My_Code]])=1, "Adjacent", IF(OR(Table1[[#This Row],[System_Code]]=0, Table1[[#This Row],[My_Code]]=0), "Neutral Disagreement", "Directional Disagreement")))</f>
        <v>Directional Disagreement</v>
      </c>
      <c r="F18" s="5">
        <v>1</v>
      </c>
      <c r="G18" s="8" t="s">
        <v>112</v>
      </c>
      <c r="H18" s="8" t="s">
        <v>113</v>
      </c>
      <c r="I18" s="5">
        <v>-1</v>
      </c>
      <c r="J18" s="1" t="s">
        <v>403</v>
      </c>
      <c r="K18" s="1">
        <v>0.45</v>
      </c>
      <c r="L18" s="1" t="s">
        <v>404</v>
      </c>
      <c r="M18" s="1" t="s">
        <v>443</v>
      </c>
      <c r="N18" s="1" t="s">
        <v>443</v>
      </c>
      <c r="O18" s="1" t="s">
        <v>444</v>
      </c>
      <c r="P18" s="6" t="s">
        <v>262</v>
      </c>
      <c r="Q18" s="1"/>
    </row>
    <row r="19" spans="1:17" ht="16.5" customHeight="1" x14ac:dyDescent="0.25">
      <c r="A19" t="s">
        <v>136</v>
      </c>
      <c r="B19">
        <v>3514</v>
      </c>
      <c r="C19">
        <v>2</v>
      </c>
      <c r="D19" t="s">
        <v>18</v>
      </c>
      <c r="E19" t="str">
        <f>IF(Table1[[#This Row],[System_Code]]=Table1[[#This Row],[My_Code]], "Exact", IF(ABS(Table1[[#This Row],[System_Code]]-Table1[[#This Row],[My_Code]])=1, "Adjacent", IF(OR(Table1[[#This Row],[System_Code]]=0, Table1[[#This Row],[My_Code]]=0), "Neutral Disagreement", "Directional Disagreement")))</f>
        <v>Directional Disagreement</v>
      </c>
      <c r="F19" s="5">
        <v>1</v>
      </c>
      <c r="G19" s="8" t="s">
        <v>137</v>
      </c>
      <c r="H19" s="8" t="s">
        <v>138</v>
      </c>
      <c r="I19" s="5">
        <v>-1</v>
      </c>
      <c r="J19" s="1" t="s">
        <v>333</v>
      </c>
      <c r="K19" s="1">
        <v>0.34</v>
      </c>
      <c r="L19" s="1" t="s">
        <v>334</v>
      </c>
      <c r="M19" s="1" t="s">
        <v>443</v>
      </c>
      <c r="N19" s="1" t="s">
        <v>443</v>
      </c>
      <c r="O19" s="1" t="s">
        <v>444</v>
      </c>
      <c r="P19" s="6" t="s">
        <v>271</v>
      </c>
      <c r="Q19" s="1"/>
    </row>
    <row r="20" spans="1:17" ht="16.5" customHeight="1" x14ac:dyDescent="0.25">
      <c r="A20" t="s">
        <v>54</v>
      </c>
      <c r="B20">
        <v>6062</v>
      </c>
      <c r="C20">
        <v>4</v>
      </c>
      <c r="D20" t="s">
        <v>38</v>
      </c>
      <c r="E20" t="str">
        <f>IF(Table1[[#This Row],[System_Code]]=Table1[[#This Row],[My_Code]], "Exact", IF(ABS(Table1[[#This Row],[System_Code]]-Table1[[#This Row],[My_Code]])=1, "Adjacent", IF(OR(Table1[[#This Row],[System_Code]]=0, Table1[[#This Row],[My_Code]]=0), "Neutral Disagreement", "Directional Disagreement")))</f>
        <v>Adjacent</v>
      </c>
      <c r="F20" s="5">
        <v>-1</v>
      </c>
      <c r="G20" s="8" t="s">
        <v>12</v>
      </c>
      <c r="H20" s="8" t="s">
        <v>55</v>
      </c>
      <c r="I20" s="5">
        <v>0</v>
      </c>
      <c r="J20" s="1" t="s">
        <v>359</v>
      </c>
      <c r="K20" s="1">
        <v>0.75</v>
      </c>
      <c r="L20" s="1" t="s">
        <v>360</v>
      </c>
      <c r="M20" s="1" t="s">
        <v>443</v>
      </c>
      <c r="N20" s="1" t="s">
        <v>443</v>
      </c>
      <c r="O20" s="1" t="s">
        <v>444</v>
      </c>
      <c r="P20" s="6" t="s">
        <v>246</v>
      </c>
      <c r="Q20" s="1"/>
    </row>
    <row r="21" spans="1:17" ht="16.5" customHeight="1" x14ac:dyDescent="0.25">
      <c r="A21" t="s">
        <v>24</v>
      </c>
      <c r="B21">
        <v>1854</v>
      </c>
      <c r="C21">
        <v>7</v>
      </c>
      <c r="D21" t="s">
        <v>25</v>
      </c>
      <c r="E21" t="str">
        <f>IF(Table1[[#This Row],[System_Code]]=Table1[[#This Row],[My_Code]], "Exact", IF(ABS(Table1[[#This Row],[System_Code]]-Table1[[#This Row],[My_Code]])=1, "Adjacent", IF(OR(Table1[[#This Row],[System_Code]]=0, Table1[[#This Row],[My_Code]]=0), "Neutral Disagreement", "Directional Disagreement")))</f>
        <v>Adjacent</v>
      </c>
      <c r="F21" s="5">
        <v>-1</v>
      </c>
      <c r="G21" s="8" t="s">
        <v>26</v>
      </c>
      <c r="H21" s="8" t="s">
        <v>27</v>
      </c>
      <c r="I21" s="5">
        <v>0</v>
      </c>
      <c r="J21" s="1" t="s">
        <v>419</v>
      </c>
      <c r="K21" s="1">
        <v>0.65</v>
      </c>
      <c r="L21" s="1" t="s">
        <v>420</v>
      </c>
      <c r="M21" s="1" t="s">
        <v>443</v>
      </c>
      <c r="N21" s="1" t="s">
        <v>443</v>
      </c>
      <c r="O21" s="1" t="s">
        <v>444</v>
      </c>
      <c r="P21" s="6" t="s">
        <v>236</v>
      </c>
      <c r="Q21" s="1"/>
    </row>
    <row r="22" spans="1:17" ht="16.5" customHeight="1" x14ac:dyDescent="0.25">
      <c r="A22" t="s">
        <v>43</v>
      </c>
      <c r="B22">
        <v>1559</v>
      </c>
      <c r="C22">
        <v>7</v>
      </c>
      <c r="D22" t="s">
        <v>18</v>
      </c>
      <c r="E22" t="str">
        <f>IF(Table1[[#This Row],[System_Code]]=Table1[[#This Row],[My_Code]], "Exact", IF(ABS(Table1[[#This Row],[System_Code]]-Table1[[#This Row],[My_Code]])=1, "Adjacent", IF(OR(Table1[[#This Row],[System_Code]]=0, Table1[[#This Row],[My_Code]]=0), "Neutral Disagreement", "Directional Disagreement")))</f>
        <v>Adjacent</v>
      </c>
      <c r="F22" s="5">
        <v>-1</v>
      </c>
      <c r="G22" s="8" t="s">
        <v>44</v>
      </c>
      <c r="H22" s="8" t="s">
        <v>45</v>
      </c>
      <c r="I22" s="5">
        <v>0</v>
      </c>
      <c r="J22" s="1" t="s">
        <v>347</v>
      </c>
      <c r="K22" s="1">
        <v>0.6</v>
      </c>
      <c r="L22" s="1" t="s">
        <v>348</v>
      </c>
      <c r="M22" s="1" t="s">
        <v>443</v>
      </c>
      <c r="N22" s="1" t="s">
        <v>443</v>
      </c>
      <c r="O22" s="1" t="s">
        <v>444</v>
      </c>
      <c r="P22" s="6" t="s">
        <v>242</v>
      </c>
      <c r="Q22" s="1"/>
    </row>
    <row r="23" spans="1:17" ht="16.5" customHeight="1" x14ac:dyDescent="0.25">
      <c r="A23" t="s">
        <v>34</v>
      </c>
      <c r="B23">
        <v>1845</v>
      </c>
      <c r="C23">
        <v>6</v>
      </c>
      <c r="D23" t="s">
        <v>11</v>
      </c>
      <c r="E23" t="str">
        <f>IF(Table1[[#This Row],[System_Code]]=Table1[[#This Row],[My_Code]], "Exact", IF(ABS(Table1[[#This Row],[System_Code]]-Table1[[#This Row],[My_Code]])=1, "Adjacent", IF(OR(Table1[[#This Row],[System_Code]]=0, Table1[[#This Row],[My_Code]]=0), "Neutral Disagreement", "Directional Disagreement")))</f>
        <v>Adjacent</v>
      </c>
      <c r="F23" s="5">
        <v>-1</v>
      </c>
      <c r="G23" s="8" t="s">
        <v>35</v>
      </c>
      <c r="H23" s="8" t="s">
        <v>36</v>
      </c>
      <c r="I23" s="5">
        <v>0</v>
      </c>
      <c r="J23" s="1" t="s">
        <v>423</v>
      </c>
      <c r="K23" s="1">
        <v>0.6</v>
      </c>
      <c r="L23" s="1" t="s">
        <v>424</v>
      </c>
      <c r="M23" s="1" t="s">
        <v>443</v>
      </c>
      <c r="N23" s="1" t="s">
        <v>443</v>
      </c>
      <c r="O23" s="1" t="s">
        <v>444</v>
      </c>
      <c r="P23" s="6" t="s">
        <v>239</v>
      </c>
      <c r="Q23" s="1" t="s">
        <v>452</v>
      </c>
    </row>
    <row r="24" spans="1:17" ht="16.5" customHeight="1" x14ac:dyDescent="0.25">
      <c r="A24" t="s">
        <v>52</v>
      </c>
      <c r="B24">
        <v>1743</v>
      </c>
      <c r="C24">
        <v>2</v>
      </c>
      <c r="D24" t="s">
        <v>25</v>
      </c>
      <c r="E24" t="str">
        <f>IF(Table1[[#This Row],[System_Code]]=Table1[[#This Row],[My_Code]], "Exact", IF(ABS(Table1[[#This Row],[System_Code]]-Table1[[#This Row],[My_Code]])=1, "Adjacent", IF(OR(Table1[[#This Row],[System_Code]]=0, Table1[[#This Row],[My_Code]]=0), "Neutral Disagreement", "Directional Disagreement")))</f>
        <v>Adjacent</v>
      </c>
      <c r="F24" s="5">
        <v>-1</v>
      </c>
      <c r="G24" s="8" t="s">
        <v>41</v>
      </c>
      <c r="H24" s="8" t="s">
        <v>53</v>
      </c>
      <c r="I24" s="5">
        <v>0</v>
      </c>
      <c r="J24" s="1" t="s">
        <v>287</v>
      </c>
      <c r="K24" s="1">
        <v>0.55000000000000004</v>
      </c>
      <c r="L24" s="1" t="s">
        <v>288</v>
      </c>
      <c r="M24" s="1" t="s">
        <v>443</v>
      </c>
      <c r="N24" s="1" t="s">
        <v>443</v>
      </c>
      <c r="O24" s="1" t="s">
        <v>444</v>
      </c>
      <c r="P24" s="6" t="s">
        <v>245</v>
      </c>
      <c r="Q24" s="1"/>
    </row>
    <row r="25" spans="1:17" ht="16.5" customHeight="1" x14ac:dyDescent="0.25">
      <c r="A25" t="s">
        <v>40</v>
      </c>
      <c r="B25">
        <v>5305</v>
      </c>
      <c r="C25">
        <v>2</v>
      </c>
      <c r="D25" t="s">
        <v>38</v>
      </c>
      <c r="E25" t="str">
        <f>IF(Table1[[#This Row],[System_Code]]=Table1[[#This Row],[My_Code]], "Exact", IF(ABS(Table1[[#This Row],[System_Code]]-Table1[[#This Row],[My_Code]])=1, "Adjacent", IF(OR(Table1[[#This Row],[System_Code]]=0, Table1[[#This Row],[My_Code]]=0), "Neutral Disagreement", "Directional Disagreement")))</f>
        <v>Adjacent</v>
      </c>
      <c r="F25" s="5">
        <v>-1</v>
      </c>
      <c r="G25" s="8" t="s">
        <v>41</v>
      </c>
      <c r="H25" s="8" t="s">
        <v>42</v>
      </c>
      <c r="I25" s="5">
        <v>0</v>
      </c>
      <c r="J25" s="1" t="s">
        <v>399</v>
      </c>
      <c r="K25" s="1">
        <v>0.55000000000000004</v>
      </c>
      <c r="L25" s="1" t="s">
        <v>400</v>
      </c>
      <c r="M25" s="1" t="s">
        <v>443</v>
      </c>
      <c r="N25" s="1" t="s">
        <v>443</v>
      </c>
      <c r="O25" s="1" t="s">
        <v>444</v>
      </c>
      <c r="P25" s="6" t="s">
        <v>241</v>
      </c>
      <c r="Q25" s="1"/>
    </row>
    <row r="26" spans="1:17" ht="16.5" customHeight="1" x14ac:dyDescent="0.25">
      <c r="A26" t="s">
        <v>71</v>
      </c>
      <c r="B26">
        <v>5373</v>
      </c>
      <c r="C26">
        <v>8</v>
      </c>
      <c r="D26" t="s">
        <v>11</v>
      </c>
      <c r="E26" t="str">
        <f>IF(Table1[[#This Row],[System_Code]]=Table1[[#This Row],[My_Code]], "Exact", IF(ABS(Table1[[#This Row],[System_Code]]-Table1[[#This Row],[My_Code]])=1, "Adjacent", IF(OR(Table1[[#This Row],[System_Code]]=0, Table1[[#This Row],[My_Code]]=0), "Neutral Disagreement", "Directional Disagreement")))</f>
        <v>Exact</v>
      </c>
      <c r="F26" s="5">
        <v>0</v>
      </c>
      <c r="G26" s="8" t="s">
        <v>72</v>
      </c>
      <c r="H26" s="8" t="s">
        <v>61</v>
      </c>
      <c r="I26" s="5">
        <v>0</v>
      </c>
      <c r="J26" s="1" t="s">
        <v>339</v>
      </c>
      <c r="K26" s="1">
        <v>0.66</v>
      </c>
      <c r="L26" s="1" t="s">
        <v>340</v>
      </c>
      <c r="M26" s="1" t="s">
        <v>443</v>
      </c>
      <c r="N26" s="1" t="s">
        <v>443</v>
      </c>
      <c r="O26" s="1" t="s">
        <v>444</v>
      </c>
      <c r="P26" s="6" t="s">
        <v>251</v>
      </c>
      <c r="Q26" s="1"/>
    </row>
    <row r="27" spans="1:17" ht="16.5" customHeight="1" x14ac:dyDescent="0.25">
      <c r="A27" t="s">
        <v>99</v>
      </c>
      <c r="B27">
        <v>3519</v>
      </c>
      <c r="C27">
        <v>10</v>
      </c>
      <c r="D27" t="s">
        <v>38</v>
      </c>
      <c r="E27" t="str">
        <f>IF(Table1[[#This Row],[System_Code]]=Table1[[#This Row],[My_Code]], "Exact", IF(ABS(Table1[[#This Row],[System_Code]]-Table1[[#This Row],[My_Code]])=1, "Adjacent", IF(OR(Table1[[#This Row],[System_Code]]=0, Table1[[#This Row],[My_Code]]=0), "Neutral Disagreement", "Directional Disagreement")))</f>
        <v>Exact</v>
      </c>
      <c r="F27" s="5">
        <v>0</v>
      </c>
      <c r="G27" s="8" t="s">
        <v>100</v>
      </c>
      <c r="H27" s="8" t="s">
        <v>101</v>
      </c>
      <c r="I27" s="5">
        <v>0</v>
      </c>
      <c r="J27" s="1" t="s">
        <v>295</v>
      </c>
      <c r="K27" s="1">
        <v>0.55000000000000004</v>
      </c>
      <c r="L27" s="1" t="s">
        <v>296</v>
      </c>
      <c r="M27" s="1" t="s">
        <v>443</v>
      </c>
      <c r="N27" s="1" t="s">
        <v>443</v>
      </c>
      <c r="O27" s="1" t="s">
        <v>444</v>
      </c>
      <c r="P27" s="6" t="s">
        <v>258</v>
      </c>
      <c r="Q27" s="1"/>
    </row>
    <row r="28" spans="1:17" ht="16.5" customHeight="1" x14ac:dyDescent="0.25">
      <c r="A28" t="s">
        <v>90</v>
      </c>
      <c r="B28">
        <v>1911</v>
      </c>
      <c r="C28">
        <v>1</v>
      </c>
      <c r="D28" t="s">
        <v>25</v>
      </c>
      <c r="E28" t="str">
        <f>IF(Table1[[#This Row],[System_Code]]=Table1[[#This Row],[My_Code]], "Exact", IF(ABS(Table1[[#This Row],[System_Code]]-Table1[[#This Row],[My_Code]])=1, "Adjacent", IF(OR(Table1[[#This Row],[System_Code]]=0, Table1[[#This Row],[My_Code]]=0), "Neutral Disagreement", "Directional Disagreement")))</f>
        <v>Exact</v>
      </c>
      <c r="F28" s="5">
        <v>0</v>
      </c>
      <c r="G28" s="8" t="s">
        <v>91</v>
      </c>
      <c r="H28" s="8" t="s">
        <v>92</v>
      </c>
      <c r="I28" s="5">
        <v>0</v>
      </c>
      <c r="J28" s="1" t="s">
        <v>315</v>
      </c>
      <c r="K28" s="1">
        <v>0.55000000000000004</v>
      </c>
      <c r="L28" s="1" t="s">
        <v>316</v>
      </c>
      <c r="M28" s="1" t="s">
        <v>443</v>
      </c>
      <c r="N28" s="1" t="s">
        <v>443</v>
      </c>
      <c r="O28" s="1" t="s">
        <v>444</v>
      </c>
      <c r="P28" s="6" t="s">
        <v>255</v>
      </c>
      <c r="Q28" s="1"/>
    </row>
    <row r="29" spans="1:17" ht="16.5" customHeight="1" x14ac:dyDescent="0.25">
      <c r="A29" s="21" t="s">
        <v>454</v>
      </c>
      <c r="B29">
        <v>8018</v>
      </c>
      <c r="C29">
        <v>6</v>
      </c>
      <c r="D29" t="s">
        <v>38</v>
      </c>
      <c r="E29" t="str">
        <f>IF(Table1[[#This Row],[System_Code]]=Table1[[#This Row],[My_Code]], "Exact", IF(ABS(Table1[[#This Row],[System_Code]]-Table1[[#This Row],[My_Code]])=1, "Adjacent", IF(OR(Table1[[#This Row],[System_Code]]=0, Table1[[#This Row],[My_Code]]=0), "Neutral Disagreement", "Directional Disagreement")))</f>
        <v>Exact</v>
      </c>
      <c r="F29" s="5">
        <v>0</v>
      </c>
      <c r="G29" s="8" t="s">
        <v>456</v>
      </c>
      <c r="H29" s="8" t="s">
        <v>455</v>
      </c>
      <c r="I29" s="5">
        <v>0</v>
      </c>
      <c r="J29" s="1" t="s">
        <v>457</v>
      </c>
      <c r="K29" s="1">
        <v>0.46</v>
      </c>
      <c r="L29" s="1" t="s">
        <v>458</v>
      </c>
      <c r="M29" s="1" t="s">
        <v>443</v>
      </c>
      <c r="N29" s="1" t="s">
        <v>443</v>
      </c>
      <c r="O29" s="1" t="s">
        <v>444</v>
      </c>
      <c r="P29" s="6"/>
      <c r="Q29" s="1"/>
    </row>
    <row r="30" spans="1:17" ht="16.5" customHeight="1" x14ac:dyDescent="0.25">
      <c r="A30" t="s">
        <v>81</v>
      </c>
      <c r="B30">
        <v>4126</v>
      </c>
      <c r="C30">
        <v>7</v>
      </c>
      <c r="D30" t="s">
        <v>18</v>
      </c>
      <c r="E30" t="str">
        <f>IF(Table1[[#This Row],[System_Code]]=Table1[[#This Row],[My_Code]], "Exact", IF(ABS(Table1[[#This Row],[System_Code]]-Table1[[#This Row],[My_Code]])=1, "Adjacent", IF(OR(Table1[[#This Row],[System_Code]]=0, Table1[[#This Row],[My_Code]]=0), "Neutral Disagreement", "Directional Disagreement")))</f>
        <v>Exact</v>
      </c>
      <c r="F30" s="5">
        <v>0</v>
      </c>
      <c r="G30" s="8" t="s">
        <v>82</v>
      </c>
      <c r="H30" s="8" t="s">
        <v>83</v>
      </c>
      <c r="I30" s="5">
        <v>0</v>
      </c>
      <c r="J30" s="1" t="s">
        <v>411</v>
      </c>
      <c r="K30" s="1">
        <v>0.45</v>
      </c>
      <c r="L30" s="1" t="s">
        <v>412</v>
      </c>
      <c r="M30" s="1" t="s">
        <v>443</v>
      </c>
      <c r="N30" s="1" t="s">
        <v>443</v>
      </c>
      <c r="O30" s="1" t="s">
        <v>444</v>
      </c>
      <c r="P30" s="6" t="s">
        <v>255</v>
      </c>
      <c r="Q30" s="1"/>
    </row>
    <row r="31" spans="1:17" ht="16.5" customHeight="1" x14ac:dyDescent="0.25">
      <c r="A31" t="s">
        <v>68</v>
      </c>
      <c r="B31">
        <v>1632</v>
      </c>
      <c r="C31">
        <v>10</v>
      </c>
      <c r="D31" t="s">
        <v>11</v>
      </c>
      <c r="E31" t="str">
        <f>IF(Table1[[#This Row],[System_Code]]=Table1[[#This Row],[My_Code]], "Exact", IF(ABS(Table1[[#This Row],[System_Code]]-Table1[[#This Row],[My_Code]])=1, "Adjacent", IF(OR(Table1[[#This Row],[System_Code]]=0, Table1[[#This Row],[My_Code]]=0), "Neutral Disagreement", "Directional Disagreement")))</f>
        <v>Exact</v>
      </c>
      <c r="F31" s="5">
        <v>0</v>
      </c>
      <c r="G31" s="8" t="s">
        <v>69</v>
      </c>
      <c r="H31" s="8" t="s">
        <v>70</v>
      </c>
      <c r="I31" s="5">
        <v>0</v>
      </c>
      <c r="J31" s="1" t="s">
        <v>425</v>
      </c>
      <c r="K31" s="1">
        <v>0.32</v>
      </c>
      <c r="L31" s="1" t="s">
        <v>426</v>
      </c>
      <c r="M31" s="1" t="s">
        <v>443</v>
      </c>
      <c r="N31" s="1" t="s">
        <v>443</v>
      </c>
      <c r="O31" s="1" t="s">
        <v>444</v>
      </c>
      <c r="P31" s="6" t="s">
        <v>250</v>
      </c>
      <c r="Q31" s="1"/>
    </row>
    <row r="32" spans="1:17" ht="16.5" customHeight="1" x14ac:dyDescent="0.25">
      <c r="A32" t="s">
        <v>87</v>
      </c>
      <c r="B32">
        <v>5850</v>
      </c>
      <c r="C32">
        <v>7</v>
      </c>
      <c r="D32" t="s">
        <v>25</v>
      </c>
      <c r="E32" t="str">
        <f>IF(Table1[[#This Row],[System_Code]]=Table1[[#This Row],[My_Code]], "Exact", IF(ABS(Table1[[#This Row],[System_Code]]-Table1[[#This Row],[My_Code]])=1, "Adjacent", IF(OR(Table1[[#This Row],[System_Code]]=0, Table1[[#This Row],[My_Code]]=0), "Neutral Disagreement", "Directional Disagreement")))</f>
        <v>Exact</v>
      </c>
      <c r="F32" s="5">
        <v>0</v>
      </c>
      <c r="G32" s="8" t="s">
        <v>88</v>
      </c>
      <c r="H32" s="8" t="s">
        <v>89</v>
      </c>
      <c r="I32" s="5">
        <v>0</v>
      </c>
      <c r="J32" s="1" t="s">
        <v>331</v>
      </c>
      <c r="K32" s="1">
        <v>0.28999999999999998</v>
      </c>
      <c r="L32" s="1" t="s">
        <v>332</v>
      </c>
      <c r="M32" s="1" t="s">
        <v>443</v>
      </c>
      <c r="N32" s="1" t="s">
        <v>443</v>
      </c>
      <c r="O32" s="1" t="s">
        <v>444</v>
      </c>
      <c r="P32" s="6" t="s">
        <v>255</v>
      </c>
      <c r="Q32" s="1" t="s">
        <v>449</v>
      </c>
    </row>
    <row r="33" spans="1:17" ht="16.5" customHeight="1" x14ac:dyDescent="0.25">
      <c r="A33" t="s">
        <v>96</v>
      </c>
      <c r="B33">
        <v>3365</v>
      </c>
      <c r="C33">
        <v>10</v>
      </c>
      <c r="D33" t="s">
        <v>11</v>
      </c>
      <c r="E33" t="str">
        <f>IF(Table1[[#This Row],[System_Code]]=Table1[[#This Row],[My_Code]], "Exact", IF(ABS(Table1[[#This Row],[System_Code]]-Table1[[#This Row],[My_Code]])=1, "Adjacent", IF(OR(Table1[[#This Row],[System_Code]]=0, Table1[[#This Row],[My_Code]]=0), "Neutral Disagreement", "Directional Disagreement")))</f>
        <v>Exact</v>
      </c>
      <c r="F33" s="5">
        <v>0</v>
      </c>
      <c r="G33" s="8" t="s">
        <v>97</v>
      </c>
      <c r="H33" s="8" t="s">
        <v>98</v>
      </c>
      <c r="I33" s="5">
        <v>0</v>
      </c>
      <c r="J33" s="1" t="s">
        <v>415</v>
      </c>
      <c r="K33" s="1">
        <v>0.28000000000000003</v>
      </c>
      <c r="L33" s="1" t="s">
        <v>416</v>
      </c>
      <c r="M33" s="1" t="s">
        <v>443</v>
      </c>
      <c r="N33" s="1" t="s">
        <v>443</v>
      </c>
      <c r="O33" s="1" t="s">
        <v>444</v>
      </c>
      <c r="P33" s="6" t="s">
        <v>255</v>
      </c>
      <c r="Q33" s="1"/>
    </row>
    <row r="34" spans="1:17" ht="16.5" customHeight="1" x14ac:dyDescent="0.25">
      <c r="A34" t="s">
        <v>117</v>
      </c>
      <c r="B34">
        <v>8302</v>
      </c>
      <c r="C34">
        <v>1</v>
      </c>
      <c r="D34" t="s">
        <v>25</v>
      </c>
      <c r="E34" t="str">
        <f>IF(Table1[[#This Row],[System_Code]]=Table1[[#This Row],[My_Code]], "Exact", IF(ABS(Table1[[#This Row],[System_Code]]-Table1[[#This Row],[My_Code]])=1, "Adjacent", IF(OR(Table1[[#This Row],[System_Code]]=0, Table1[[#This Row],[My_Code]]=0), "Neutral Disagreement", "Directional Disagreement")))</f>
        <v>Adjacent</v>
      </c>
      <c r="F34" s="5">
        <v>1</v>
      </c>
      <c r="G34" s="8" t="s">
        <v>118</v>
      </c>
      <c r="H34" s="8" t="s">
        <v>119</v>
      </c>
      <c r="I34" s="5">
        <v>0</v>
      </c>
      <c r="J34" s="1" t="s">
        <v>291</v>
      </c>
      <c r="K34" s="1">
        <v>0.55000000000000004</v>
      </c>
      <c r="L34" s="1" t="s">
        <v>292</v>
      </c>
      <c r="M34" s="1" t="s">
        <v>443</v>
      </c>
      <c r="N34" s="1" t="s">
        <v>443</v>
      </c>
      <c r="O34" s="1" t="s">
        <v>444</v>
      </c>
      <c r="P34" s="6" t="s">
        <v>264</v>
      </c>
      <c r="Q34" s="1"/>
    </row>
    <row r="35" spans="1:17" ht="16.5" customHeight="1" x14ac:dyDescent="0.25">
      <c r="A35" t="s">
        <v>172</v>
      </c>
      <c r="B35">
        <v>5297</v>
      </c>
      <c r="C35">
        <v>8</v>
      </c>
      <c r="D35" t="s">
        <v>18</v>
      </c>
      <c r="E35" t="str">
        <f>IF(Table1[[#This Row],[System_Code]]=Table1[[#This Row],[My_Code]], "Exact", IF(ABS(Table1[[#This Row],[System_Code]]-Table1[[#This Row],[My_Code]])=1, "Adjacent", IF(OR(Table1[[#This Row],[System_Code]]=0, Table1[[#This Row],[My_Code]]=0), "Neutral Disagreement", "Directional Disagreement")))</f>
        <v>Adjacent</v>
      </c>
      <c r="F35" s="5">
        <v>1</v>
      </c>
      <c r="G35" s="8" t="s">
        <v>173</v>
      </c>
      <c r="H35" s="8" t="s">
        <v>174</v>
      </c>
      <c r="I35" s="5">
        <v>0</v>
      </c>
      <c r="J35" s="1" t="s">
        <v>293</v>
      </c>
      <c r="K35" s="1">
        <v>0.55000000000000004</v>
      </c>
      <c r="L35" s="1" t="s">
        <v>294</v>
      </c>
      <c r="M35" s="1" t="s">
        <v>443</v>
      </c>
      <c r="N35" s="1" t="s">
        <v>443</v>
      </c>
      <c r="O35" s="1" t="s">
        <v>444</v>
      </c>
      <c r="P35" s="6" t="s">
        <v>279</v>
      </c>
      <c r="Q35" s="1"/>
    </row>
    <row r="36" spans="1:17" ht="16.5" customHeight="1" x14ac:dyDescent="0.25">
      <c r="A36" t="s">
        <v>193</v>
      </c>
      <c r="B36">
        <v>4677</v>
      </c>
      <c r="C36">
        <v>7</v>
      </c>
      <c r="D36" t="s">
        <v>11</v>
      </c>
      <c r="E36" t="str">
        <f>IF(Table1[[#This Row],[System_Code]]=Table1[[#This Row],[My_Code]], "Exact", IF(ABS(Table1[[#This Row],[System_Code]]-Table1[[#This Row],[My_Code]])=1, "Adjacent", IF(OR(Table1[[#This Row],[System_Code]]=0, Table1[[#This Row],[My_Code]]=0), "Neutral Disagreement", "Directional Disagreement")))</f>
        <v>Adjacent</v>
      </c>
      <c r="F36" s="5">
        <v>1</v>
      </c>
      <c r="G36" s="8" t="s">
        <v>194</v>
      </c>
      <c r="H36" s="8" t="s">
        <v>192</v>
      </c>
      <c r="I36" s="5">
        <v>0</v>
      </c>
      <c r="J36" s="1" t="s">
        <v>317</v>
      </c>
      <c r="K36" s="1">
        <v>0.55000000000000004</v>
      </c>
      <c r="L36" s="1" t="s">
        <v>318</v>
      </c>
      <c r="M36" s="1" t="s">
        <v>443</v>
      </c>
      <c r="N36" s="1" t="s">
        <v>443</v>
      </c>
      <c r="O36" s="1" t="s">
        <v>444</v>
      </c>
      <c r="P36" s="6" t="s">
        <v>280</v>
      </c>
      <c r="Q36" s="1"/>
    </row>
    <row r="37" spans="1:17" ht="16.5" customHeight="1" x14ac:dyDescent="0.25">
      <c r="A37" t="s">
        <v>169</v>
      </c>
      <c r="B37">
        <v>1249</v>
      </c>
      <c r="C37">
        <v>3</v>
      </c>
      <c r="D37" t="s">
        <v>38</v>
      </c>
      <c r="E37" t="str">
        <f>IF(Table1[[#This Row],[System_Code]]=Table1[[#This Row],[My_Code]], "Exact", IF(ABS(Table1[[#This Row],[System_Code]]-Table1[[#This Row],[My_Code]])=1, "Adjacent", IF(OR(Table1[[#This Row],[System_Code]]=0, Table1[[#This Row],[My_Code]]=0), "Neutral Disagreement", "Directional Disagreement")))</f>
        <v>Adjacent</v>
      </c>
      <c r="F37" s="5">
        <v>1</v>
      </c>
      <c r="G37" s="8" t="s">
        <v>170</v>
      </c>
      <c r="H37" s="8" t="s">
        <v>171</v>
      </c>
      <c r="I37" s="5">
        <v>0</v>
      </c>
      <c r="J37" s="1" t="s">
        <v>391</v>
      </c>
      <c r="K37" s="1">
        <v>0.55000000000000004</v>
      </c>
      <c r="L37" s="1" t="s">
        <v>392</v>
      </c>
      <c r="M37" s="1" t="s">
        <v>443</v>
      </c>
      <c r="N37" s="1" t="s">
        <v>443</v>
      </c>
      <c r="O37" s="1" t="s">
        <v>444</v>
      </c>
      <c r="P37" s="6" t="s">
        <v>255</v>
      </c>
      <c r="Q37" s="1" t="s">
        <v>451</v>
      </c>
    </row>
    <row r="38" spans="1:17" ht="16.5" customHeight="1" x14ac:dyDescent="0.25">
      <c r="A38" t="s">
        <v>155</v>
      </c>
      <c r="B38">
        <v>2964</v>
      </c>
      <c r="C38">
        <v>3</v>
      </c>
      <c r="D38" t="s">
        <v>38</v>
      </c>
      <c r="E38" t="str">
        <f>IF(Table1[[#This Row],[System_Code]]=Table1[[#This Row],[My_Code]], "Exact", IF(ABS(Table1[[#This Row],[System_Code]]-Table1[[#This Row],[My_Code]])=1, "Adjacent", IF(OR(Table1[[#This Row],[System_Code]]=0, Table1[[#This Row],[My_Code]]=0), "Neutral Disagreement", "Directional Disagreement")))</f>
        <v>Adjacent</v>
      </c>
      <c r="F38" s="5">
        <v>1</v>
      </c>
      <c r="G38" s="8" t="s">
        <v>156</v>
      </c>
      <c r="H38" s="8" t="s">
        <v>157</v>
      </c>
      <c r="I38" s="5">
        <v>0</v>
      </c>
      <c r="J38" s="1" t="s">
        <v>413</v>
      </c>
      <c r="K38" s="1">
        <v>0.55000000000000004</v>
      </c>
      <c r="L38" s="1" t="s">
        <v>414</v>
      </c>
      <c r="M38" s="1" t="s">
        <v>443</v>
      </c>
      <c r="N38" s="1" t="s">
        <v>443</v>
      </c>
      <c r="O38" s="1" t="s">
        <v>444</v>
      </c>
      <c r="P38" s="6"/>
      <c r="Q38" s="1"/>
    </row>
    <row r="39" spans="1:17" ht="16.5" customHeight="1" x14ac:dyDescent="0.25">
      <c r="A39" t="s">
        <v>205</v>
      </c>
      <c r="B39">
        <v>4235</v>
      </c>
      <c r="C39">
        <v>1</v>
      </c>
      <c r="D39" t="s">
        <v>25</v>
      </c>
      <c r="E39" t="str">
        <f>IF(Table1[[#This Row],[System_Code]]=Table1[[#This Row],[My_Code]], "Exact", IF(ABS(Table1[[#This Row],[System_Code]]-Table1[[#This Row],[My_Code]])=1, "Adjacent", IF(OR(Table1[[#This Row],[System_Code]]=0, Table1[[#This Row],[My_Code]]=0), "Neutral Disagreement", "Directional Disagreement")))</f>
        <v>Adjacent</v>
      </c>
      <c r="F39" s="5">
        <v>1</v>
      </c>
      <c r="G39" s="8" t="s">
        <v>181</v>
      </c>
      <c r="H39" s="8" t="s">
        <v>206</v>
      </c>
      <c r="I39" s="5">
        <v>0</v>
      </c>
      <c r="J39" s="1" t="s">
        <v>431</v>
      </c>
      <c r="K39" s="1">
        <v>0.55000000000000004</v>
      </c>
      <c r="L39" s="1" t="s">
        <v>432</v>
      </c>
      <c r="M39" s="1" t="s">
        <v>443</v>
      </c>
      <c r="N39" s="1" t="s">
        <v>443</v>
      </c>
      <c r="O39" s="1" t="s">
        <v>444</v>
      </c>
      <c r="P39" s="6"/>
      <c r="Q39" s="1"/>
    </row>
    <row r="40" spans="1:17" ht="16.5" customHeight="1" x14ac:dyDescent="0.25">
      <c r="A40" t="s">
        <v>147</v>
      </c>
      <c r="B40">
        <v>7374</v>
      </c>
      <c r="C40">
        <v>9</v>
      </c>
      <c r="D40" t="s">
        <v>38</v>
      </c>
      <c r="E40" t="str">
        <f>IF(Table1[[#This Row],[System_Code]]=Table1[[#This Row],[My_Code]], "Exact", IF(ABS(Table1[[#This Row],[System_Code]]-Table1[[#This Row],[My_Code]])=1, "Adjacent", IF(OR(Table1[[#This Row],[System_Code]]=0, Table1[[#This Row],[My_Code]]=0), "Neutral Disagreement", "Directional Disagreement")))</f>
        <v>Adjacent</v>
      </c>
      <c r="F40" s="5">
        <v>1</v>
      </c>
      <c r="G40" s="8" t="s">
        <v>148</v>
      </c>
      <c r="H40" s="8" t="s">
        <v>149</v>
      </c>
      <c r="I40" s="5">
        <v>0</v>
      </c>
      <c r="J40" s="1" t="s">
        <v>433</v>
      </c>
      <c r="K40" s="1">
        <v>0.55000000000000004</v>
      </c>
      <c r="L40" s="1" t="s">
        <v>434</v>
      </c>
      <c r="M40" s="1" t="s">
        <v>443</v>
      </c>
      <c r="N40" s="1" t="s">
        <v>443</v>
      </c>
      <c r="O40" s="1" t="s">
        <v>444</v>
      </c>
      <c r="P40" s="6" t="s">
        <v>274</v>
      </c>
      <c r="Q40" s="1"/>
    </row>
    <row r="41" spans="1:17" ht="16.5" customHeight="1" x14ac:dyDescent="0.25">
      <c r="A41" t="s">
        <v>180</v>
      </c>
      <c r="B41">
        <v>2862</v>
      </c>
      <c r="C41">
        <v>10</v>
      </c>
      <c r="D41" t="s">
        <v>25</v>
      </c>
      <c r="E41" t="str">
        <f>IF(Table1[[#This Row],[System_Code]]=Table1[[#This Row],[My_Code]], "Exact", IF(ABS(Table1[[#This Row],[System_Code]]-Table1[[#This Row],[My_Code]])=1, "Adjacent", IF(OR(Table1[[#This Row],[System_Code]]=0, Table1[[#This Row],[My_Code]]=0), "Neutral Disagreement", "Directional Disagreement")))</f>
        <v>Adjacent</v>
      </c>
      <c r="F41" s="5">
        <v>1</v>
      </c>
      <c r="G41" s="8" t="s">
        <v>181</v>
      </c>
      <c r="H41" s="8" t="s">
        <v>182</v>
      </c>
      <c r="I41" s="5">
        <v>0</v>
      </c>
      <c r="J41" s="1" t="s">
        <v>437</v>
      </c>
      <c r="K41" s="1">
        <v>0.55000000000000004</v>
      </c>
      <c r="L41" s="1" t="s">
        <v>438</v>
      </c>
      <c r="M41" s="1" t="s">
        <v>443</v>
      </c>
      <c r="N41" s="1" t="s">
        <v>443</v>
      </c>
      <c r="O41" s="1" t="s">
        <v>444</v>
      </c>
      <c r="P41" s="6" t="s">
        <v>255</v>
      </c>
      <c r="Q41" s="1"/>
    </row>
    <row r="42" spans="1:17" ht="16.5" customHeight="1" x14ac:dyDescent="0.25">
      <c r="A42" t="s">
        <v>195</v>
      </c>
      <c r="B42">
        <v>7387</v>
      </c>
      <c r="C42">
        <v>5</v>
      </c>
      <c r="D42" t="s">
        <v>25</v>
      </c>
      <c r="E42" t="str">
        <f>IF(Table1[[#This Row],[System_Code]]=Table1[[#This Row],[My_Code]], "Exact", IF(ABS(Table1[[#This Row],[System_Code]]-Table1[[#This Row],[My_Code]])=1, "Adjacent", IF(OR(Table1[[#This Row],[System_Code]]=0, Table1[[#This Row],[My_Code]]=0), "Neutral Disagreement", "Directional Disagreement")))</f>
        <v>Adjacent</v>
      </c>
      <c r="F42" s="5">
        <v>1</v>
      </c>
      <c r="G42" s="8" t="s">
        <v>196</v>
      </c>
      <c r="H42" s="8" t="s">
        <v>197</v>
      </c>
      <c r="I42" s="5">
        <v>0</v>
      </c>
      <c r="J42" s="1" t="s">
        <v>375</v>
      </c>
      <c r="K42" s="1">
        <v>0.46</v>
      </c>
      <c r="L42" s="1" t="s">
        <v>376</v>
      </c>
      <c r="M42" s="1" t="s">
        <v>443</v>
      </c>
      <c r="N42" s="1" t="s">
        <v>443</v>
      </c>
      <c r="O42" s="1" t="s">
        <v>444</v>
      </c>
      <c r="P42" s="6"/>
      <c r="Q42" s="1"/>
    </row>
    <row r="43" spans="1:17" ht="16.5" customHeight="1" x14ac:dyDescent="0.25">
      <c r="A43" t="s">
        <v>227</v>
      </c>
      <c r="B43">
        <v>2660</v>
      </c>
      <c r="C43">
        <v>2</v>
      </c>
      <c r="D43" t="s">
        <v>38</v>
      </c>
      <c r="E43" t="str">
        <f>IF(Table1[[#This Row],[System_Code]]=Table1[[#This Row],[My_Code]], "Exact", IF(ABS(Table1[[#This Row],[System_Code]]-Table1[[#This Row],[My_Code]])=1, "Adjacent", IF(OR(Table1[[#This Row],[System_Code]]=0, Table1[[#This Row],[My_Code]]=0), "Neutral Disagreement", "Directional Disagreement")))</f>
        <v>Neutral Disagreement</v>
      </c>
      <c r="F43" s="5">
        <v>2</v>
      </c>
      <c r="G43" s="8" t="s">
        <v>41</v>
      </c>
      <c r="H43" s="8" t="s">
        <v>228</v>
      </c>
      <c r="I43" s="5">
        <v>0</v>
      </c>
      <c r="J43" s="1" t="s">
        <v>329</v>
      </c>
      <c r="K43" s="1">
        <v>0.65</v>
      </c>
      <c r="L43" s="1" t="s">
        <v>330</v>
      </c>
      <c r="M43" s="1" t="s">
        <v>443</v>
      </c>
      <c r="N43" s="1" t="s">
        <v>443</v>
      </c>
      <c r="O43" s="1" t="s">
        <v>444</v>
      </c>
      <c r="P43" s="6"/>
      <c r="Q43" s="1" t="s">
        <v>448</v>
      </c>
    </row>
    <row r="44" spans="1:17" ht="16.5" customHeight="1" x14ac:dyDescent="0.25">
      <c r="A44" t="s">
        <v>229</v>
      </c>
      <c r="B44">
        <v>2930</v>
      </c>
      <c r="C44">
        <v>5</v>
      </c>
      <c r="D44" t="s">
        <v>38</v>
      </c>
      <c r="E44" t="str">
        <f>IF(Table1[[#This Row],[System_Code]]=Table1[[#This Row],[My_Code]], "Exact", IF(ABS(Table1[[#This Row],[System_Code]]-Table1[[#This Row],[My_Code]])=1, "Adjacent", IF(OR(Table1[[#This Row],[System_Code]]=0, Table1[[#This Row],[My_Code]]=0), "Neutral Disagreement", "Directional Disagreement")))</f>
        <v>Neutral Disagreement</v>
      </c>
      <c r="F44" s="5">
        <v>2</v>
      </c>
      <c r="G44" s="8" t="s">
        <v>230</v>
      </c>
      <c r="H44" s="8" t="s">
        <v>231</v>
      </c>
      <c r="I44" s="5">
        <v>0</v>
      </c>
      <c r="J44" s="1" t="s">
        <v>395</v>
      </c>
      <c r="K44" s="1">
        <v>0.63</v>
      </c>
      <c r="L44" s="1" t="s">
        <v>396</v>
      </c>
      <c r="M44" s="1" t="s">
        <v>443</v>
      </c>
      <c r="N44" s="1" t="s">
        <v>443</v>
      </c>
      <c r="O44" s="1" t="s">
        <v>444</v>
      </c>
      <c r="P44" s="6"/>
      <c r="Q44" s="1"/>
    </row>
    <row r="45" spans="1:17" ht="16.5" customHeight="1" x14ac:dyDescent="0.25">
      <c r="A45" t="s">
        <v>49</v>
      </c>
      <c r="B45">
        <v>5857</v>
      </c>
      <c r="C45">
        <v>6</v>
      </c>
      <c r="D45" t="s">
        <v>38</v>
      </c>
      <c r="E45" t="str">
        <f>IF(Table1[[#This Row],[System_Code]]=Table1[[#This Row],[My_Code]], "Exact", IF(ABS(Table1[[#This Row],[System_Code]]-Table1[[#This Row],[My_Code]])=1, "Adjacent", IF(OR(Table1[[#This Row],[System_Code]]=0, Table1[[#This Row],[My_Code]]=0), "Neutral Disagreement", "Directional Disagreement")))</f>
        <v>Directional Disagreement</v>
      </c>
      <c r="F45" s="5">
        <v>-1</v>
      </c>
      <c r="G45" s="8" t="s">
        <v>50</v>
      </c>
      <c r="H45" s="8" t="s">
        <v>51</v>
      </c>
      <c r="I45" s="5">
        <v>1</v>
      </c>
      <c r="J45" s="1" t="s">
        <v>281</v>
      </c>
      <c r="K45" s="1">
        <v>0.55000000000000004</v>
      </c>
      <c r="L45" s="1" t="s">
        <v>282</v>
      </c>
      <c r="M45" s="1" t="s">
        <v>443</v>
      </c>
      <c r="N45" s="1" t="s">
        <v>443</v>
      </c>
      <c r="O45" s="1" t="s">
        <v>444</v>
      </c>
      <c r="P45" s="6" t="s">
        <v>244</v>
      </c>
      <c r="Q45" s="1"/>
    </row>
    <row r="46" spans="1:17" ht="16.5" customHeight="1" x14ac:dyDescent="0.25">
      <c r="A46" t="s">
        <v>28</v>
      </c>
      <c r="B46">
        <v>2881</v>
      </c>
      <c r="C46">
        <v>4</v>
      </c>
      <c r="D46" t="s">
        <v>18</v>
      </c>
      <c r="E46" t="str">
        <f>IF(Table1[[#This Row],[System_Code]]=Table1[[#This Row],[My_Code]], "Exact", IF(ABS(Table1[[#This Row],[System_Code]]-Table1[[#This Row],[My_Code]])=1, "Adjacent", IF(OR(Table1[[#This Row],[System_Code]]=0, Table1[[#This Row],[My_Code]]=0), "Neutral Disagreement", "Directional Disagreement")))</f>
        <v>Directional Disagreement</v>
      </c>
      <c r="F46" s="5">
        <v>-1</v>
      </c>
      <c r="G46" s="8" t="s">
        <v>29</v>
      </c>
      <c r="H46" s="8" t="s">
        <v>30</v>
      </c>
      <c r="I46" s="5">
        <v>1</v>
      </c>
      <c r="J46" s="1" t="s">
        <v>289</v>
      </c>
      <c r="K46" s="1">
        <v>0.55000000000000004</v>
      </c>
      <c r="L46" s="1" t="s">
        <v>290</v>
      </c>
      <c r="M46" s="1" t="s">
        <v>443</v>
      </c>
      <c r="N46" s="1" t="s">
        <v>443</v>
      </c>
      <c r="O46" s="1" t="s">
        <v>444</v>
      </c>
      <c r="P46" s="6" t="s">
        <v>237</v>
      </c>
      <c r="Q46" s="1"/>
    </row>
    <row r="47" spans="1:17" ht="16.5" customHeight="1" x14ac:dyDescent="0.25">
      <c r="A47" t="s">
        <v>21</v>
      </c>
      <c r="B47">
        <v>2171</v>
      </c>
      <c r="C47">
        <v>2</v>
      </c>
      <c r="D47" t="s">
        <v>11</v>
      </c>
      <c r="E47" t="str">
        <f>IF(Table1[[#This Row],[System_Code]]=Table1[[#This Row],[My_Code]], "Exact", IF(ABS(Table1[[#This Row],[System_Code]]-Table1[[#This Row],[My_Code]])=1, "Adjacent", IF(OR(Table1[[#This Row],[System_Code]]=0, Table1[[#This Row],[My_Code]]=0), "Neutral Disagreement", "Directional Disagreement")))</f>
        <v>Directional Disagreement</v>
      </c>
      <c r="F47" s="5">
        <v>-1</v>
      </c>
      <c r="G47" s="8" t="s">
        <v>22</v>
      </c>
      <c r="H47" s="8" t="s">
        <v>23</v>
      </c>
      <c r="I47" s="5">
        <v>1</v>
      </c>
      <c r="J47" s="1" t="s">
        <v>321</v>
      </c>
      <c r="K47" s="1">
        <v>0.55000000000000004</v>
      </c>
      <c r="L47" s="1" t="s">
        <v>322</v>
      </c>
      <c r="M47" s="1" t="s">
        <v>443</v>
      </c>
      <c r="N47" s="1" t="s">
        <v>443</v>
      </c>
      <c r="O47" s="1" t="s">
        <v>444</v>
      </c>
      <c r="P47" s="6" t="s">
        <v>235</v>
      </c>
      <c r="Q47" s="1"/>
    </row>
    <row r="48" spans="1:17" ht="16.5" customHeight="1" x14ac:dyDescent="0.25">
      <c r="A48" t="s">
        <v>31</v>
      </c>
      <c r="B48">
        <v>6956</v>
      </c>
      <c r="C48">
        <v>3</v>
      </c>
      <c r="D48" t="s">
        <v>18</v>
      </c>
      <c r="E48" t="str">
        <f>IF(Table1[[#This Row],[System_Code]]=Table1[[#This Row],[My_Code]], "Exact", IF(ABS(Table1[[#This Row],[System_Code]]-Table1[[#This Row],[My_Code]])=1, "Adjacent", IF(OR(Table1[[#This Row],[System_Code]]=0, Table1[[#This Row],[My_Code]]=0), "Neutral Disagreement", "Directional Disagreement")))</f>
        <v>Directional Disagreement</v>
      </c>
      <c r="F48" s="5">
        <v>-1</v>
      </c>
      <c r="G48" s="8" t="s">
        <v>32</v>
      </c>
      <c r="H48" s="8" t="s">
        <v>33</v>
      </c>
      <c r="I48" s="5">
        <v>1</v>
      </c>
      <c r="J48" s="1" t="s">
        <v>337</v>
      </c>
      <c r="K48" s="1">
        <v>0.55000000000000004</v>
      </c>
      <c r="L48" s="1" t="s">
        <v>338</v>
      </c>
      <c r="M48" s="1" t="s">
        <v>443</v>
      </c>
      <c r="N48" s="1" t="s">
        <v>443</v>
      </c>
      <c r="O48" s="1" t="s">
        <v>444</v>
      </c>
      <c r="P48" s="6" t="s">
        <v>238</v>
      </c>
      <c r="Q48" s="1"/>
    </row>
    <row r="49" spans="1:17" ht="16.5" customHeight="1" x14ac:dyDescent="0.25">
      <c r="A49" t="s">
        <v>93</v>
      </c>
      <c r="B49">
        <v>5315</v>
      </c>
      <c r="C49">
        <v>6</v>
      </c>
      <c r="D49" t="s">
        <v>25</v>
      </c>
      <c r="E49" t="str">
        <f>IF(Table1[[#This Row],[System_Code]]=Table1[[#This Row],[My_Code]], "Exact", IF(ABS(Table1[[#This Row],[System_Code]]-Table1[[#This Row],[My_Code]])=1, "Adjacent", IF(OR(Table1[[#This Row],[System_Code]]=0, Table1[[#This Row],[My_Code]]=0), "Neutral Disagreement", "Directional Disagreement")))</f>
        <v>Adjacent</v>
      </c>
      <c r="F49" s="5">
        <v>0</v>
      </c>
      <c r="G49" s="8" t="s">
        <v>94</v>
      </c>
      <c r="H49" s="8" t="s">
        <v>95</v>
      </c>
      <c r="I49" s="5">
        <v>1</v>
      </c>
      <c r="J49" s="1" t="s">
        <v>325</v>
      </c>
      <c r="K49" s="1">
        <v>0.6</v>
      </c>
      <c r="L49" s="1" t="s">
        <v>326</v>
      </c>
      <c r="M49" s="1" t="s">
        <v>443</v>
      </c>
      <c r="N49" s="1" t="s">
        <v>443</v>
      </c>
      <c r="O49" s="1" t="s">
        <v>444</v>
      </c>
      <c r="P49" s="6" t="s">
        <v>257</v>
      </c>
      <c r="Q49" s="1"/>
    </row>
    <row r="50" spans="1:17" ht="16.5" customHeight="1" x14ac:dyDescent="0.25">
      <c r="A50" t="s">
        <v>65</v>
      </c>
      <c r="B50">
        <v>1787</v>
      </c>
      <c r="C50">
        <v>5</v>
      </c>
      <c r="D50" t="s">
        <v>11</v>
      </c>
      <c r="E50" t="str">
        <f>IF(Table1[[#This Row],[System_Code]]=Table1[[#This Row],[My_Code]], "Exact", IF(ABS(Table1[[#This Row],[System_Code]]-Table1[[#This Row],[My_Code]])=1, "Adjacent", IF(OR(Table1[[#This Row],[System_Code]]=0, Table1[[#This Row],[My_Code]]=0), "Neutral Disagreement", "Directional Disagreement")))</f>
        <v>Adjacent</v>
      </c>
      <c r="F50" s="5">
        <v>0</v>
      </c>
      <c r="G50" s="8" t="s">
        <v>66</v>
      </c>
      <c r="H50" s="8" t="s">
        <v>67</v>
      </c>
      <c r="I50" s="5">
        <v>1</v>
      </c>
      <c r="J50" s="1" t="s">
        <v>383</v>
      </c>
      <c r="K50" s="1">
        <v>0.45</v>
      </c>
      <c r="L50" s="1" t="s">
        <v>384</v>
      </c>
      <c r="M50" s="1" t="s">
        <v>443</v>
      </c>
      <c r="N50" s="1" t="s">
        <v>443</v>
      </c>
      <c r="O50" s="1" t="s">
        <v>444</v>
      </c>
      <c r="P50" s="6" t="s">
        <v>249</v>
      </c>
      <c r="Q50" s="1"/>
    </row>
    <row r="51" spans="1:17" ht="16.5" customHeight="1" x14ac:dyDescent="0.25">
      <c r="A51" t="s">
        <v>73</v>
      </c>
      <c r="B51">
        <v>6010</v>
      </c>
      <c r="C51">
        <v>5</v>
      </c>
      <c r="D51" t="s">
        <v>11</v>
      </c>
      <c r="E51" t="str">
        <f>IF(Table1[[#This Row],[System_Code]]=Table1[[#This Row],[My_Code]], "Exact", IF(ABS(Table1[[#This Row],[System_Code]]-Table1[[#This Row],[My_Code]])=1, "Adjacent", IF(OR(Table1[[#This Row],[System_Code]]=0, Table1[[#This Row],[My_Code]]=0), "Neutral Disagreement", "Directional Disagreement")))</f>
        <v>Adjacent</v>
      </c>
      <c r="F51" s="5">
        <v>0</v>
      </c>
      <c r="G51" s="8" t="s">
        <v>74</v>
      </c>
      <c r="H51" s="8" t="s">
        <v>75</v>
      </c>
      <c r="I51" s="5">
        <v>1</v>
      </c>
      <c r="J51" s="1" t="s">
        <v>363</v>
      </c>
      <c r="K51" s="1">
        <v>0.41</v>
      </c>
      <c r="L51" s="1" t="s">
        <v>364</v>
      </c>
      <c r="M51" s="1" t="s">
        <v>443</v>
      </c>
      <c r="N51" s="1" t="s">
        <v>443</v>
      </c>
      <c r="O51" s="1" t="s">
        <v>444</v>
      </c>
      <c r="P51" s="6" t="s">
        <v>252</v>
      </c>
      <c r="Q51" s="1"/>
    </row>
    <row r="52" spans="1:17" ht="16.5" customHeight="1" x14ac:dyDescent="0.25">
      <c r="A52" t="s">
        <v>76</v>
      </c>
      <c r="B52">
        <v>4396</v>
      </c>
      <c r="C52">
        <v>7</v>
      </c>
      <c r="D52" t="s">
        <v>25</v>
      </c>
      <c r="E52" t="str">
        <f>IF(Table1[[#This Row],[System_Code]]=Table1[[#This Row],[My_Code]], "Exact", IF(ABS(Table1[[#This Row],[System_Code]]-Table1[[#This Row],[My_Code]])=1, "Adjacent", IF(OR(Table1[[#This Row],[System_Code]]=0, Table1[[#This Row],[My_Code]]=0), "Neutral Disagreement", "Directional Disagreement")))</f>
        <v>Adjacent</v>
      </c>
      <c r="F52" s="5">
        <v>0</v>
      </c>
      <c r="G52" s="8" t="s">
        <v>77</v>
      </c>
      <c r="H52" s="8" t="s">
        <v>27</v>
      </c>
      <c r="I52" s="5">
        <v>1</v>
      </c>
      <c r="J52" s="1" t="s">
        <v>305</v>
      </c>
      <c r="K52" s="1">
        <v>0.35</v>
      </c>
      <c r="L52" s="1" t="s">
        <v>306</v>
      </c>
      <c r="M52" s="1" t="s">
        <v>443</v>
      </c>
      <c r="N52" s="1" t="s">
        <v>443</v>
      </c>
      <c r="O52" s="1" t="s">
        <v>444</v>
      </c>
      <c r="P52" s="6" t="s">
        <v>253</v>
      </c>
      <c r="Q52" s="1" t="s">
        <v>447</v>
      </c>
    </row>
    <row r="53" spans="1:17" ht="16.5" customHeight="1" x14ac:dyDescent="0.25">
      <c r="A53" t="s">
        <v>198</v>
      </c>
      <c r="B53">
        <v>846</v>
      </c>
      <c r="C53">
        <v>2</v>
      </c>
      <c r="D53" t="s">
        <v>25</v>
      </c>
      <c r="E53" t="str">
        <f>IF(Table1[[#This Row],[System_Code]]=Table1[[#This Row],[My_Code]], "Exact", IF(ABS(Table1[[#This Row],[System_Code]]-Table1[[#This Row],[My_Code]])=1, "Adjacent", IF(OR(Table1[[#This Row],[System_Code]]=0, Table1[[#This Row],[My_Code]]=0), "Neutral Disagreement", "Directional Disagreement")))</f>
        <v>Exact</v>
      </c>
      <c r="F53" s="5">
        <v>1</v>
      </c>
      <c r="G53" s="8" t="s">
        <v>199</v>
      </c>
      <c r="H53" s="8" t="s">
        <v>200</v>
      </c>
      <c r="I53" s="5">
        <v>1</v>
      </c>
      <c r="J53" s="1" t="s">
        <v>341</v>
      </c>
      <c r="K53" s="1">
        <v>0.65</v>
      </c>
      <c r="L53" s="1" t="s">
        <v>342</v>
      </c>
      <c r="M53" s="1" t="s">
        <v>443</v>
      </c>
      <c r="N53" s="1" t="s">
        <v>443</v>
      </c>
      <c r="O53" s="1" t="s">
        <v>444</v>
      </c>
      <c r="P53" s="6"/>
      <c r="Q53" s="1"/>
    </row>
    <row r="54" spans="1:17" ht="16.5" customHeight="1" x14ac:dyDescent="0.25">
      <c r="A54" t="s">
        <v>183</v>
      </c>
      <c r="B54">
        <v>2734</v>
      </c>
      <c r="C54">
        <v>1</v>
      </c>
      <c r="D54" t="s">
        <v>18</v>
      </c>
      <c r="E54" t="str">
        <f>IF(Table1[[#This Row],[System_Code]]=Table1[[#This Row],[My_Code]], "Exact", IF(ABS(Table1[[#This Row],[System_Code]]-Table1[[#This Row],[My_Code]])=1, "Adjacent", IF(OR(Table1[[#This Row],[System_Code]]=0, Table1[[#This Row],[My_Code]]=0), "Neutral Disagreement", "Directional Disagreement")))</f>
        <v>Exact</v>
      </c>
      <c r="F54" s="5">
        <v>1</v>
      </c>
      <c r="G54" s="8" t="s">
        <v>184</v>
      </c>
      <c r="H54" s="8" t="s">
        <v>185</v>
      </c>
      <c r="I54" s="5">
        <v>1</v>
      </c>
      <c r="J54" s="1" t="s">
        <v>377</v>
      </c>
      <c r="K54" s="1">
        <v>0.65</v>
      </c>
      <c r="L54" s="1" t="s">
        <v>378</v>
      </c>
      <c r="M54" s="1" t="s">
        <v>443</v>
      </c>
      <c r="N54" s="1" t="s">
        <v>443</v>
      </c>
      <c r="O54" s="1" t="s">
        <v>444</v>
      </c>
      <c r="P54" s="6"/>
      <c r="Q54" s="1"/>
    </row>
    <row r="55" spans="1:17" ht="16.5" customHeight="1" x14ac:dyDescent="0.25">
      <c r="A55" t="s">
        <v>102</v>
      </c>
      <c r="B55">
        <v>3409</v>
      </c>
      <c r="C55">
        <v>5</v>
      </c>
      <c r="D55" t="s">
        <v>38</v>
      </c>
      <c r="E55" t="str">
        <f>IF(Table1[[#This Row],[System_Code]]=Table1[[#This Row],[My_Code]], "Exact", IF(ABS(Table1[[#This Row],[System_Code]]-Table1[[#This Row],[My_Code]])=1, "Adjacent", IF(OR(Table1[[#This Row],[System_Code]]=0, Table1[[#This Row],[My_Code]]=0), "Neutral Disagreement", "Directional Disagreement")))</f>
        <v>Exact</v>
      </c>
      <c r="F55" s="5">
        <v>1</v>
      </c>
      <c r="G55" s="8" t="s">
        <v>103</v>
      </c>
      <c r="H55" s="8" t="s">
        <v>104</v>
      </c>
      <c r="I55" s="5">
        <v>1</v>
      </c>
      <c r="J55" s="1" t="s">
        <v>401</v>
      </c>
      <c r="K55" s="1">
        <v>0.63</v>
      </c>
      <c r="L55" s="1" t="s">
        <v>402</v>
      </c>
      <c r="M55" s="1" t="s">
        <v>443</v>
      </c>
      <c r="N55" s="1" t="s">
        <v>443</v>
      </c>
      <c r="O55" s="1" t="s">
        <v>444</v>
      </c>
      <c r="P55" s="6" t="s">
        <v>259</v>
      </c>
      <c r="Q55" s="1"/>
    </row>
    <row r="56" spans="1:17" ht="16.5" customHeight="1" x14ac:dyDescent="0.25">
      <c r="A56" t="s">
        <v>190</v>
      </c>
      <c r="B56">
        <v>5918</v>
      </c>
      <c r="C56">
        <v>7</v>
      </c>
      <c r="D56" t="s">
        <v>11</v>
      </c>
      <c r="E56" t="str">
        <f>IF(Table1[[#This Row],[System_Code]]=Table1[[#This Row],[My_Code]], "Exact", IF(ABS(Table1[[#This Row],[System_Code]]-Table1[[#This Row],[My_Code]])=1, "Adjacent", IF(OR(Table1[[#This Row],[System_Code]]=0, Table1[[#This Row],[My_Code]]=0), "Neutral Disagreement", "Directional Disagreement")))</f>
        <v>Exact</v>
      </c>
      <c r="F56" s="5">
        <v>1</v>
      </c>
      <c r="G56" s="8" t="s">
        <v>191</v>
      </c>
      <c r="H56" s="8" t="s">
        <v>192</v>
      </c>
      <c r="I56" s="5">
        <v>1</v>
      </c>
      <c r="J56" s="1" t="s">
        <v>421</v>
      </c>
      <c r="K56" s="1">
        <v>0.63</v>
      </c>
      <c r="L56" s="1" t="s">
        <v>422</v>
      </c>
      <c r="M56" s="1" t="s">
        <v>443</v>
      </c>
      <c r="N56" s="1" t="s">
        <v>443</v>
      </c>
      <c r="O56" s="1" t="s">
        <v>444</v>
      </c>
      <c r="P56" s="6"/>
      <c r="Q56" s="1"/>
    </row>
    <row r="57" spans="1:17" ht="16.5" customHeight="1" x14ac:dyDescent="0.25">
      <c r="A57" t="s">
        <v>142</v>
      </c>
      <c r="B57">
        <v>5178</v>
      </c>
      <c r="C57">
        <v>6</v>
      </c>
      <c r="D57" t="s">
        <v>18</v>
      </c>
      <c r="E57" t="str">
        <f>IF(Table1[[#This Row],[System_Code]]=Table1[[#This Row],[My_Code]], "Exact", IF(ABS(Table1[[#This Row],[System_Code]]-Table1[[#This Row],[My_Code]])=1, "Adjacent", IF(OR(Table1[[#This Row],[System_Code]]=0, Table1[[#This Row],[My_Code]]=0), "Neutral Disagreement", "Directional Disagreement")))</f>
        <v>Exact</v>
      </c>
      <c r="F57" s="5">
        <v>1</v>
      </c>
      <c r="G57" s="8" t="s">
        <v>143</v>
      </c>
      <c r="H57" s="8" t="s">
        <v>144</v>
      </c>
      <c r="I57" s="5">
        <v>1</v>
      </c>
      <c r="J57" s="1" t="s">
        <v>297</v>
      </c>
      <c r="K57" s="1">
        <v>0.55000000000000004</v>
      </c>
      <c r="L57" s="1" t="s">
        <v>298</v>
      </c>
      <c r="M57" s="1" t="s">
        <v>443</v>
      </c>
      <c r="N57" s="1" t="s">
        <v>443</v>
      </c>
      <c r="O57" s="1" t="s">
        <v>444</v>
      </c>
      <c r="P57" s="6"/>
      <c r="Q57" s="1"/>
    </row>
    <row r="58" spans="1:17" ht="16.5" customHeight="1" x14ac:dyDescent="0.25">
      <c r="A58" t="s">
        <v>189</v>
      </c>
      <c r="B58">
        <v>8245</v>
      </c>
      <c r="C58">
        <v>7</v>
      </c>
      <c r="D58" t="s">
        <v>18</v>
      </c>
      <c r="E58" t="str">
        <f>IF(Table1[[#This Row],[System_Code]]=Table1[[#This Row],[My_Code]], "Exact", IF(ABS(Table1[[#This Row],[System_Code]]-Table1[[#This Row],[My_Code]])=1, "Adjacent", IF(OR(Table1[[#This Row],[System_Code]]=0, Table1[[#This Row],[My_Code]]=0), "Neutral Disagreement", "Directional Disagreement")))</f>
        <v>Exact</v>
      </c>
      <c r="F58" s="5">
        <v>1</v>
      </c>
      <c r="G58" s="8" t="s">
        <v>88</v>
      </c>
      <c r="H58" s="8" t="s">
        <v>45</v>
      </c>
      <c r="I58" s="5">
        <v>1</v>
      </c>
      <c r="J58" s="1" t="s">
        <v>301</v>
      </c>
      <c r="K58" s="1">
        <v>0.55000000000000004</v>
      </c>
      <c r="L58" s="1" t="s">
        <v>302</v>
      </c>
      <c r="M58" s="1" t="s">
        <v>443</v>
      </c>
      <c r="N58" s="1" t="s">
        <v>443</v>
      </c>
      <c r="O58" s="1" t="s">
        <v>444</v>
      </c>
      <c r="P58" s="6"/>
      <c r="Q58" s="1"/>
    </row>
    <row r="59" spans="1:17" ht="16.5" customHeight="1" x14ac:dyDescent="0.25">
      <c r="A59" t="s">
        <v>152</v>
      </c>
      <c r="B59">
        <v>1472</v>
      </c>
      <c r="C59">
        <v>7</v>
      </c>
      <c r="D59" t="s">
        <v>38</v>
      </c>
      <c r="E59" t="str">
        <f>IF(Table1[[#This Row],[System_Code]]=Table1[[#This Row],[My_Code]], "Exact", IF(ABS(Table1[[#This Row],[System_Code]]-Table1[[#This Row],[My_Code]])=1, "Adjacent", IF(OR(Table1[[#This Row],[System_Code]]=0, Table1[[#This Row],[My_Code]]=0), "Neutral Disagreement", "Directional Disagreement")))</f>
        <v>Exact</v>
      </c>
      <c r="F59" s="5">
        <v>1</v>
      </c>
      <c r="G59" s="8" t="s">
        <v>153</v>
      </c>
      <c r="H59" s="8" t="s">
        <v>154</v>
      </c>
      <c r="I59" s="5">
        <v>1</v>
      </c>
      <c r="J59" s="1" t="s">
        <v>311</v>
      </c>
      <c r="K59" s="1">
        <v>0.55000000000000004</v>
      </c>
      <c r="L59" s="1" t="s">
        <v>312</v>
      </c>
      <c r="M59" s="1" t="s">
        <v>443</v>
      </c>
      <c r="N59" s="1" t="s">
        <v>443</v>
      </c>
      <c r="O59" s="1" t="s">
        <v>444</v>
      </c>
      <c r="P59" s="6"/>
      <c r="Q59" s="1"/>
    </row>
    <row r="60" spans="1:17" ht="16.5" customHeight="1" x14ac:dyDescent="0.25">
      <c r="A60" t="s">
        <v>134</v>
      </c>
      <c r="B60">
        <v>5554</v>
      </c>
      <c r="C60">
        <v>7</v>
      </c>
      <c r="D60" t="s">
        <v>18</v>
      </c>
      <c r="E60" t="str">
        <f>IF(Table1[[#This Row],[System_Code]]=Table1[[#This Row],[My_Code]], "Exact", IF(ABS(Table1[[#This Row],[System_Code]]-Table1[[#This Row],[My_Code]])=1, "Adjacent", IF(OR(Table1[[#This Row],[System_Code]]=0, Table1[[#This Row],[My_Code]]=0), "Neutral Disagreement", "Directional Disagreement")))</f>
        <v>Exact</v>
      </c>
      <c r="F60" s="5">
        <v>1</v>
      </c>
      <c r="G60" s="8" t="s">
        <v>135</v>
      </c>
      <c r="H60" s="8" t="s">
        <v>83</v>
      </c>
      <c r="I60" s="5">
        <v>1</v>
      </c>
      <c r="J60" s="1" t="s">
        <v>319</v>
      </c>
      <c r="K60" s="1">
        <v>0.55000000000000004</v>
      </c>
      <c r="L60" s="1" t="s">
        <v>320</v>
      </c>
      <c r="M60" s="1" t="s">
        <v>443</v>
      </c>
      <c r="N60" s="1" t="s">
        <v>443</v>
      </c>
      <c r="O60" s="1" t="s">
        <v>444</v>
      </c>
      <c r="P60" s="6" t="s">
        <v>270</v>
      </c>
      <c r="Q60" s="1"/>
    </row>
    <row r="61" spans="1:17" ht="16.5" customHeight="1" x14ac:dyDescent="0.25">
      <c r="A61" t="s">
        <v>207</v>
      </c>
      <c r="B61">
        <v>8417</v>
      </c>
      <c r="C61">
        <v>9</v>
      </c>
      <c r="D61" t="s">
        <v>18</v>
      </c>
      <c r="E61" t="str">
        <f>IF(Table1[[#This Row],[System_Code]]=Table1[[#This Row],[My_Code]], "Exact", IF(ABS(Table1[[#This Row],[System_Code]]-Table1[[#This Row],[My_Code]])=1, "Adjacent", IF(OR(Table1[[#This Row],[System_Code]]=0, Table1[[#This Row],[My_Code]]=0), "Neutral Disagreement", "Directional Disagreement")))</f>
        <v>Exact</v>
      </c>
      <c r="F61" s="5">
        <v>1</v>
      </c>
      <c r="G61" s="8" t="s">
        <v>208</v>
      </c>
      <c r="H61" s="8" t="s">
        <v>209</v>
      </c>
      <c r="I61" s="5">
        <v>1</v>
      </c>
      <c r="J61" s="1" t="s">
        <v>343</v>
      </c>
      <c r="K61" s="1">
        <v>0.55000000000000004</v>
      </c>
      <c r="L61" s="1" t="s">
        <v>344</v>
      </c>
      <c r="M61" s="1" t="s">
        <v>443</v>
      </c>
      <c r="N61" s="1" t="s">
        <v>443</v>
      </c>
      <c r="O61" s="1" t="s">
        <v>444</v>
      </c>
      <c r="P61" s="6"/>
      <c r="Q61" s="1"/>
    </row>
    <row r="62" spans="1:17" ht="16.5" customHeight="1" x14ac:dyDescent="0.25">
      <c r="A62" t="s">
        <v>123</v>
      </c>
      <c r="B62">
        <v>3608</v>
      </c>
      <c r="C62">
        <v>5</v>
      </c>
      <c r="D62" t="s">
        <v>38</v>
      </c>
      <c r="E62" t="str">
        <f>IF(Table1[[#This Row],[System_Code]]=Table1[[#This Row],[My_Code]], "Exact", IF(ABS(Table1[[#This Row],[System_Code]]-Table1[[#This Row],[My_Code]])=1, "Adjacent", IF(OR(Table1[[#This Row],[System_Code]]=0, Table1[[#This Row],[My_Code]]=0), "Neutral Disagreement", "Directional Disagreement")))</f>
        <v>Exact</v>
      </c>
      <c r="F62" s="5">
        <v>1</v>
      </c>
      <c r="G62" s="8" t="s">
        <v>124</v>
      </c>
      <c r="H62" s="8" t="s">
        <v>104</v>
      </c>
      <c r="I62" s="5">
        <v>1</v>
      </c>
      <c r="J62" s="1" t="s">
        <v>349</v>
      </c>
      <c r="K62" s="1">
        <v>0.55000000000000004</v>
      </c>
      <c r="L62" s="1" t="s">
        <v>350</v>
      </c>
      <c r="M62" s="1" t="s">
        <v>443</v>
      </c>
      <c r="N62" s="1" t="s">
        <v>443</v>
      </c>
      <c r="O62" s="1" t="s">
        <v>444</v>
      </c>
      <c r="P62" s="6" t="s">
        <v>266</v>
      </c>
      <c r="Q62" s="1"/>
    </row>
    <row r="63" spans="1:17" ht="16.5" customHeight="1" x14ac:dyDescent="0.25">
      <c r="A63" t="s">
        <v>166</v>
      </c>
      <c r="B63">
        <v>8368</v>
      </c>
      <c r="C63">
        <v>4</v>
      </c>
      <c r="D63" t="s">
        <v>11</v>
      </c>
      <c r="E63" t="str">
        <f>IF(Table1[[#This Row],[System_Code]]=Table1[[#This Row],[My_Code]], "Exact", IF(ABS(Table1[[#This Row],[System_Code]]-Table1[[#This Row],[My_Code]])=1, "Adjacent", IF(OR(Table1[[#This Row],[System_Code]]=0, Table1[[#This Row],[My_Code]]=0), "Neutral Disagreement", "Directional Disagreement")))</f>
        <v>Exact</v>
      </c>
      <c r="F63" s="5">
        <v>1</v>
      </c>
      <c r="G63" s="8" t="s">
        <v>167</v>
      </c>
      <c r="H63" s="8" t="s">
        <v>168</v>
      </c>
      <c r="I63" s="5">
        <v>1</v>
      </c>
      <c r="J63" s="1" t="s">
        <v>355</v>
      </c>
      <c r="K63" s="1">
        <v>0.55000000000000004</v>
      </c>
      <c r="L63" s="1" t="s">
        <v>356</v>
      </c>
      <c r="M63" s="1" t="s">
        <v>443</v>
      </c>
      <c r="N63" s="1" t="s">
        <v>443</v>
      </c>
      <c r="O63" s="1" t="s">
        <v>444</v>
      </c>
      <c r="P63" s="6" t="s">
        <v>278</v>
      </c>
      <c r="Q63" s="1"/>
    </row>
    <row r="64" spans="1:17" ht="16.5" customHeight="1" x14ac:dyDescent="0.25">
      <c r="A64" t="s">
        <v>114</v>
      </c>
      <c r="B64">
        <v>1986</v>
      </c>
      <c r="C64">
        <v>6</v>
      </c>
      <c r="D64" t="s">
        <v>11</v>
      </c>
      <c r="E64" t="str">
        <f>IF(Table1[[#This Row],[System_Code]]=Table1[[#This Row],[My_Code]], "Exact", IF(ABS(Table1[[#This Row],[System_Code]]-Table1[[#This Row],[My_Code]])=1, "Adjacent", IF(OR(Table1[[#This Row],[System_Code]]=0, Table1[[#This Row],[My_Code]]=0), "Neutral Disagreement", "Directional Disagreement")))</f>
        <v>Exact</v>
      </c>
      <c r="F64" s="5">
        <v>1</v>
      </c>
      <c r="G64" s="8" t="s">
        <v>115</v>
      </c>
      <c r="H64" s="8" t="s">
        <v>116</v>
      </c>
      <c r="I64" s="5">
        <v>1</v>
      </c>
      <c r="J64" s="1" t="s">
        <v>357</v>
      </c>
      <c r="K64" s="1">
        <v>0.55000000000000004</v>
      </c>
      <c r="L64" s="1" t="s">
        <v>358</v>
      </c>
      <c r="M64" s="1" t="s">
        <v>443</v>
      </c>
      <c r="N64" s="1" t="s">
        <v>443</v>
      </c>
      <c r="O64" s="1" t="s">
        <v>444</v>
      </c>
      <c r="P64" s="6" t="s">
        <v>263</v>
      </c>
      <c r="Q64" s="1"/>
    </row>
    <row r="65" spans="1:17" ht="16.5" customHeight="1" x14ac:dyDescent="0.25">
      <c r="A65" t="s">
        <v>203</v>
      </c>
      <c r="B65">
        <v>5100</v>
      </c>
      <c r="C65">
        <v>2</v>
      </c>
      <c r="D65" t="s">
        <v>38</v>
      </c>
      <c r="E65" t="str">
        <f>IF(Table1[[#This Row],[System_Code]]=Table1[[#This Row],[My_Code]], "Exact", IF(ABS(Table1[[#This Row],[System_Code]]-Table1[[#This Row],[My_Code]])=1, "Adjacent", IF(OR(Table1[[#This Row],[System_Code]]=0, Table1[[#This Row],[My_Code]]=0), "Neutral Disagreement", "Directional Disagreement")))</f>
        <v>Exact</v>
      </c>
      <c r="F65" s="5">
        <v>1</v>
      </c>
      <c r="G65" s="8" t="s">
        <v>204</v>
      </c>
      <c r="H65" s="8" t="s">
        <v>188</v>
      </c>
      <c r="I65" s="5">
        <v>1</v>
      </c>
      <c r="J65" s="1" t="s">
        <v>361</v>
      </c>
      <c r="K65" s="1">
        <v>0.55000000000000004</v>
      </c>
      <c r="L65" s="1" t="s">
        <v>362</v>
      </c>
      <c r="M65" s="1" t="s">
        <v>443</v>
      </c>
      <c r="N65" s="1" t="s">
        <v>443</v>
      </c>
      <c r="O65" s="1" t="s">
        <v>444</v>
      </c>
      <c r="P65" s="6"/>
      <c r="Q65" s="1"/>
    </row>
    <row r="66" spans="1:17" ht="16.5" customHeight="1" x14ac:dyDescent="0.25">
      <c r="A66" t="s">
        <v>158</v>
      </c>
      <c r="B66">
        <v>33</v>
      </c>
      <c r="C66">
        <v>2</v>
      </c>
      <c r="D66" t="s">
        <v>11</v>
      </c>
      <c r="E66" t="str">
        <f>IF(Table1[[#This Row],[System_Code]]=Table1[[#This Row],[My_Code]], "Exact", IF(ABS(Table1[[#This Row],[System_Code]]-Table1[[#This Row],[My_Code]])=1, "Adjacent", IF(OR(Table1[[#This Row],[System_Code]]=0, Table1[[#This Row],[My_Code]]=0), "Neutral Disagreement", "Directional Disagreement")))</f>
        <v>Exact</v>
      </c>
      <c r="F66" s="5">
        <v>1</v>
      </c>
      <c r="G66" s="8" t="s">
        <v>135</v>
      </c>
      <c r="H66" s="8" t="s">
        <v>159</v>
      </c>
      <c r="I66" s="5">
        <v>1</v>
      </c>
      <c r="J66" s="1" t="s">
        <v>365</v>
      </c>
      <c r="K66" s="1">
        <v>0.55000000000000004</v>
      </c>
      <c r="L66" s="1" t="s">
        <v>366</v>
      </c>
      <c r="M66" s="1" t="s">
        <v>443</v>
      </c>
      <c r="N66" s="1" t="s">
        <v>443</v>
      </c>
      <c r="O66" s="1" t="s">
        <v>444</v>
      </c>
      <c r="P66" s="6" t="s">
        <v>276</v>
      </c>
      <c r="Q66" s="1"/>
    </row>
    <row r="67" spans="1:17" ht="16.5" customHeight="1" x14ac:dyDescent="0.25">
      <c r="A67" t="s">
        <v>163</v>
      </c>
      <c r="B67">
        <v>6521</v>
      </c>
      <c r="C67">
        <v>3</v>
      </c>
      <c r="D67" t="s">
        <v>38</v>
      </c>
      <c r="E67" t="str">
        <f>IF(Table1[[#This Row],[System_Code]]=Table1[[#This Row],[My_Code]], "Exact", IF(ABS(Table1[[#This Row],[System_Code]]-Table1[[#This Row],[My_Code]])=1, "Adjacent", IF(OR(Table1[[#This Row],[System_Code]]=0, Table1[[#This Row],[My_Code]]=0), "Neutral Disagreement", "Directional Disagreement")))</f>
        <v>Exact</v>
      </c>
      <c r="F67" s="5">
        <v>1</v>
      </c>
      <c r="G67" s="8" t="s">
        <v>164</v>
      </c>
      <c r="H67" s="8" t="s">
        <v>165</v>
      </c>
      <c r="I67" s="5">
        <v>1</v>
      </c>
      <c r="J67" s="1" t="s">
        <v>369</v>
      </c>
      <c r="K67" s="1">
        <v>0.55000000000000004</v>
      </c>
      <c r="L67" s="1" t="s">
        <v>370</v>
      </c>
      <c r="M67" s="1" t="s">
        <v>443</v>
      </c>
      <c r="N67" s="1" t="s">
        <v>443</v>
      </c>
      <c r="O67" s="1" t="s">
        <v>444</v>
      </c>
      <c r="P67" s="6" t="s">
        <v>277</v>
      </c>
      <c r="Q67" s="1"/>
    </row>
    <row r="68" spans="1:17" ht="16.5" customHeight="1" x14ac:dyDescent="0.25">
      <c r="A68" t="s">
        <v>160</v>
      </c>
      <c r="B68">
        <v>7761</v>
      </c>
      <c r="C68">
        <v>7</v>
      </c>
      <c r="D68" t="s">
        <v>18</v>
      </c>
      <c r="E68" t="str">
        <f>IF(Table1[[#This Row],[System_Code]]=Table1[[#This Row],[My_Code]], "Exact", IF(ABS(Table1[[#This Row],[System_Code]]-Table1[[#This Row],[My_Code]])=1, "Adjacent", IF(OR(Table1[[#This Row],[System_Code]]=0, Table1[[#This Row],[My_Code]]=0), "Neutral Disagreement", "Directional Disagreement")))</f>
        <v>Exact</v>
      </c>
      <c r="F68" s="5">
        <v>1</v>
      </c>
      <c r="G68" s="8" t="s">
        <v>161</v>
      </c>
      <c r="H68" s="8" t="s">
        <v>162</v>
      </c>
      <c r="I68" s="5">
        <v>1</v>
      </c>
      <c r="J68" s="1" t="s">
        <v>381</v>
      </c>
      <c r="K68" s="1">
        <v>0.55000000000000004</v>
      </c>
      <c r="L68" s="1" t="s">
        <v>382</v>
      </c>
      <c r="M68" s="1" t="s">
        <v>443</v>
      </c>
      <c r="N68" s="1" t="s">
        <v>443</v>
      </c>
      <c r="O68" s="1" t="s">
        <v>444</v>
      </c>
      <c r="P68" s="6" t="s">
        <v>270</v>
      </c>
      <c r="Q68" s="1"/>
    </row>
    <row r="69" spans="1:17" ht="16.5" customHeight="1" x14ac:dyDescent="0.25">
      <c r="A69" t="s">
        <v>139</v>
      </c>
      <c r="B69">
        <v>6194</v>
      </c>
      <c r="C69">
        <v>3</v>
      </c>
      <c r="D69" t="s">
        <v>18</v>
      </c>
      <c r="E69" t="str">
        <f>IF(Table1[[#This Row],[System_Code]]=Table1[[#This Row],[My_Code]], "Exact", IF(ABS(Table1[[#This Row],[System_Code]]-Table1[[#This Row],[My_Code]])=1, "Adjacent", IF(OR(Table1[[#This Row],[System_Code]]=0, Table1[[#This Row],[My_Code]]=0), "Neutral Disagreement", "Directional Disagreement")))</f>
        <v>Exact</v>
      </c>
      <c r="F69" s="5">
        <v>1</v>
      </c>
      <c r="G69" s="8" t="s">
        <v>140</v>
      </c>
      <c r="H69" s="8" t="s">
        <v>141</v>
      </c>
      <c r="I69" s="5">
        <v>1</v>
      </c>
      <c r="J69" s="1" t="s">
        <v>389</v>
      </c>
      <c r="K69" s="1">
        <v>0.55000000000000004</v>
      </c>
      <c r="L69" s="1" t="s">
        <v>390</v>
      </c>
      <c r="M69" s="1" t="s">
        <v>443</v>
      </c>
      <c r="N69" s="1" t="s">
        <v>443</v>
      </c>
      <c r="O69" s="1" t="s">
        <v>444</v>
      </c>
      <c r="P69" s="6" t="s">
        <v>272</v>
      </c>
      <c r="Q69" s="1"/>
    </row>
    <row r="70" spans="1:17" ht="16.5" customHeight="1" x14ac:dyDescent="0.25">
      <c r="A70" t="s">
        <v>120</v>
      </c>
      <c r="B70">
        <v>4359</v>
      </c>
      <c r="C70">
        <v>2</v>
      </c>
      <c r="D70" t="s">
        <v>38</v>
      </c>
      <c r="E70" t="str">
        <f>IF(Table1[[#This Row],[System_Code]]=Table1[[#This Row],[My_Code]], "Exact", IF(ABS(Table1[[#This Row],[System_Code]]-Table1[[#This Row],[My_Code]])=1, "Adjacent", IF(OR(Table1[[#This Row],[System_Code]]=0, Table1[[#This Row],[My_Code]]=0), "Neutral Disagreement", "Directional Disagreement")))</f>
        <v>Exact</v>
      </c>
      <c r="F70" s="5">
        <v>1</v>
      </c>
      <c r="G70" s="8" t="s">
        <v>121</v>
      </c>
      <c r="H70" s="8" t="s">
        <v>122</v>
      </c>
      <c r="I70" s="5">
        <v>1</v>
      </c>
      <c r="J70" s="1" t="s">
        <v>417</v>
      </c>
      <c r="K70" s="1">
        <v>0.55000000000000004</v>
      </c>
      <c r="L70" s="1" t="s">
        <v>418</v>
      </c>
      <c r="M70" s="1" t="s">
        <v>443</v>
      </c>
      <c r="N70" s="1" t="s">
        <v>443</v>
      </c>
      <c r="O70" s="1" t="s">
        <v>444</v>
      </c>
      <c r="P70" s="6" t="s">
        <v>265</v>
      </c>
      <c r="Q70" s="1"/>
    </row>
    <row r="71" spans="1:17" ht="16.5" customHeight="1" x14ac:dyDescent="0.25">
      <c r="A71" t="s">
        <v>177</v>
      </c>
      <c r="B71">
        <v>2141</v>
      </c>
      <c r="C71">
        <v>3</v>
      </c>
      <c r="D71" t="s">
        <v>38</v>
      </c>
      <c r="E71" t="str">
        <f>IF(Table1[[#This Row],[System_Code]]=Table1[[#This Row],[My_Code]], "Exact", IF(ABS(Table1[[#This Row],[System_Code]]-Table1[[#This Row],[My_Code]])=1, "Adjacent", IF(OR(Table1[[#This Row],[System_Code]]=0, Table1[[#This Row],[My_Code]]=0), "Neutral Disagreement", "Directional Disagreement")))</f>
        <v>Exact</v>
      </c>
      <c r="F71" s="5">
        <v>1</v>
      </c>
      <c r="G71" s="8" t="s">
        <v>178</v>
      </c>
      <c r="H71" s="8" t="s">
        <v>179</v>
      </c>
      <c r="I71" s="5">
        <v>1</v>
      </c>
      <c r="J71" s="1" t="s">
        <v>429</v>
      </c>
      <c r="K71" s="1">
        <v>0.4</v>
      </c>
      <c r="L71" s="1" t="s">
        <v>430</v>
      </c>
      <c r="M71" s="1" t="s">
        <v>443</v>
      </c>
      <c r="N71" s="1" t="s">
        <v>443</v>
      </c>
      <c r="O71" s="1" t="s">
        <v>444</v>
      </c>
      <c r="P71" s="6"/>
      <c r="Q71" s="1" t="s">
        <v>453</v>
      </c>
    </row>
    <row r="72" spans="1:17" ht="16.5" customHeight="1" x14ac:dyDescent="0.25">
      <c r="A72" t="s">
        <v>186</v>
      </c>
      <c r="B72">
        <v>5824</v>
      </c>
      <c r="C72">
        <v>2</v>
      </c>
      <c r="D72" t="s">
        <v>38</v>
      </c>
      <c r="E72" t="str">
        <f>IF(Table1[[#This Row],[System_Code]]=Table1[[#This Row],[My_Code]], "Exact", IF(ABS(Table1[[#This Row],[System_Code]]-Table1[[#This Row],[My_Code]])=1, "Adjacent", IF(OR(Table1[[#This Row],[System_Code]]=0, Table1[[#This Row],[My_Code]]=0), "Neutral Disagreement", "Directional Disagreement")))</f>
        <v>Exact</v>
      </c>
      <c r="F72" s="5">
        <v>1</v>
      </c>
      <c r="G72" s="8" t="s">
        <v>187</v>
      </c>
      <c r="H72" s="8" t="s">
        <v>188</v>
      </c>
      <c r="I72" s="5">
        <v>1</v>
      </c>
      <c r="J72" s="1" t="s">
        <v>351</v>
      </c>
      <c r="K72" s="1">
        <v>0.35</v>
      </c>
      <c r="L72" s="1" t="s">
        <v>352</v>
      </c>
      <c r="M72" s="1" t="s">
        <v>443</v>
      </c>
      <c r="N72" s="1" t="s">
        <v>443</v>
      </c>
      <c r="O72" s="1" t="s">
        <v>444</v>
      </c>
      <c r="P72" s="6"/>
      <c r="Q72" s="1"/>
    </row>
    <row r="73" spans="1:17" ht="16.5" customHeight="1" x14ac:dyDescent="0.25">
      <c r="A73" t="s">
        <v>175</v>
      </c>
      <c r="B73">
        <v>8111</v>
      </c>
      <c r="C73">
        <v>10</v>
      </c>
      <c r="D73" t="s">
        <v>11</v>
      </c>
      <c r="E73" t="str">
        <f>IF(Table1[[#This Row],[System_Code]]=Table1[[#This Row],[My_Code]], "Exact", IF(ABS(Table1[[#This Row],[System_Code]]-Table1[[#This Row],[My_Code]])=1, "Adjacent", IF(OR(Table1[[#This Row],[System_Code]]=0, Table1[[#This Row],[My_Code]]=0), "Neutral Disagreement", "Directional Disagreement")))</f>
        <v>Exact</v>
      </c>
      <c r="F73" s="5">
        <v>1</v>
      </c>
      <c r="G73" s="8" t="s">
        <v>176</v>
      </c>
      <c r="H73" s="8" t="s">
        <v>98</v>
      </c>
      <c r="I73" s="5">
        <v>1</v>
      </c>
      <c r="J73" s="1" t="s">
        <v>373</v>
      </c>
      <c r="K73" s="1">
        <v>0.35</v>
      </c>
      <c r="L73" s="1" t="s">
        <v>374</v>
      </c>
      <c r="M73" s="1" t="s">
        <v>443</v>
      </c>
      <c r="N73" s="1" t="s">
        <v>443</v>
      </c>
      <c r="O73" s="1" t="s">
        <v>444</v>
      </c>
      <c r="P73" s="6"/>
      <c r="Q73" s="1"/>
    </row>
    <row r="74" spans="1:17" ht="16.5" customHeight="1" x14ac:dyDescent="0.25">
      <c r="A74" t="s">
        <v>219</v>
      </c>
      <c r="B74">
        <v>5123</v>
      </c>
      <c r="C74">
        <v>4</v>
      </c>
      <c r="D74" t="s">
        <v>11</v>
      </c>
      <c r="E74" t="str">
        <f>IF(Table1[[#This Row],[System_Code]]=Table1[[#This Row],[My_Code]], "Exact", IF(ABS(Table1[[#This Row],[System_Code]]-Table1[[#This Row],[My_Code]])=1, "Adjacent", IF(OR(Table1[[#This Row],[System_Code]]=0, Table1[[#This Row],[My_Code]]=0), "Neutral Disagreement", "Directional Disagreement")))</f>
        <v>Adjacent</v>
      </c>
      <c r="F74" s="5">
        <v>2</v>
      </c>
      <c r="G74" s="8" t="s">
        <v>220</v>
      </c>
      <c r="H74" s="8" t="s">
        <v>13</v>
      </c>
      <c r="I74" s="5">
        <v>1</v>
      </c>
      <c r="J74" s="1" t="s">
        <v>435</v>
      </c>
      <c r="K74" s="1">
        <v>0.65</v>
      </c>
      <c r="L74" s="1" t="s">
        <v>436</v>
      </c>
      <c r="M74" s="1" t="s">
        <v>443</v>
      </c>
      <c r="N74" s="1" t="s">
        <v>443</v>
      </c>
      <c r="O74" s="1" t="s">
        <v>444</v>
      </c>
      <c r="P74" s="6"/>
      <c r="Q74" s="1"/>
    </row>
    <row r="75" spans="1:17" ht="16.5" customHeight="1" x14ac:dyDescent="0.25">
      <c r="A75" t="s">
        <v>221</v>
      </c>
      <c r="B75">
        <v>2026</v>
      </c>
      <c r="C75">
        <v>9</v>
      </c>
      <c r="D75" t="s">
        <v>18</v>
      </c>
      <c r="E75" t="str">
        <f>IF(Table1[[#This Row],[System_Code]]=Table1[[#This Row],[My_Code]], "Exact", IF(ABS(Table1[[#This Row],[System_Code]]-Table1[[#This Row],[My_Code]])=1, "Adjacent", IF(OR(Table1[[#This Row],[System_Code]]=0, Table1[[#This Row],[My_Code]]=0), "Neutral Disagreement", "Directional Disagreement")))</f>
        <v>Adjacent</v>
      </c>
      <c r="F75" s="5">
        <v>2</v>
      </c>
      <c r="G75" s="8" t="s">
        <v>222</v>
      </c>
      <c r="H75" s="8" t="s">
        <v>223</v>
      </c>
      <c r="I75" s="5">
        <v>1</v>
      </c>
      <c r="J75" s="1" t="s">
        <v>409</v>
      </c>
      <c r="K75" s="1">
        <v>0.63</v>
      </c>
      <c r="L75" s="1" t="s">
        <v>410</v>
      </c>
      <c r="M75" s="1" t="s">
        <v>443</v>
      </c>
      <c r="N75" s="1" t="s">
        <v>443</v>
      </c>
      <c r="O75" s="1" t="s">
        <v>444</v>
      </c>
      <c r="P75" s="6"/>
      <c r="Q75" s="1"/>
    </row>
    <row r="76" spans="1:17" ht="16.5" customHeight="1" x14ac:dyDescent="0.25">
      <c r="A76" t="s">
        <v>216</v>
      </c>
      <c r="B76">
        <v>6195</v>
      </c>
      <c r="C76">
        <v>6</v>
      </c>
      <c r="D76" t="s">
        <v>18</v>
      </c>
      <c r="E76" t="str">
        <f>IF(Table1[[#This Row],[System_Code]]=Table1[[#This Row],[My_Code]], "Exact", IF(ABS(Table1[[#This Row],[System_Code]]-Table1[[#This Row],[My_Code]])=1, "Adjacent", IF(OR(Table1[[#This Row],[System_Code]]=0, Table1[[#This Row],[My_Code]]=0), "Neutral Disagreement", "Directional Disagreement")))</f>
        <v>Adjacent</v>
      </c>
      <c r="F76" s="5">
        <v>2</v>
      </c>
      <c r="G76" s="8" t="s">
        <v>217</v>
      </c>
      <c r="H76" s="8" t="s">
        <v>218</v>
      </c>
      <c r="I76" s="5">
        <v>1</v>
      </c>
      <c r="J76" s="1" t="s">
        <v>367</v>
      </c>
      <c r="K76" s="1">
        <v>0.57999999999999996</v>
      </c>
      <c r="L76" s="1" t="s">
        <v>368</v>
      </c>
      <c r="M76" s="1" t="s">
        <v>443</v>
      </c>
      <c r="N76" s="1" t="s">
        <v>443</v>
      </c>
      <c r="O76" s="1" t="s">
        <v>444</v>
      </c>
      <c r="P76" s="6"/>
      <c r="Q76" s="1"/>
    </row>
    <row r="77" spans="1:17" ht="16.5" customHeight="1" x14ac:dyDescent="0.25">
      <c r="A77" t="s">
        <v>125</v>
      </c>
      <c r="B77">
        <v>8316</v>
      </c>
      <c r="C77">
        <v>2</v>
      </c>
      <c r="D77" t="s">
        <v>18</v>
      </c>
      <c r="E77" t="str">
        <f>IF(Table1[[#This Row],[System_Code]]=Table1[[#This Row],[My_Code]], "Exact", IF(ABS(Table1[[#This Row],[System_Code]]-Table1[[#This Row],[My_Code]])=1, "Adjacent", IF(OR(Table1[[#This Row],[System_Code]]=0, Table1[[#This Row],[My_Code]]=0), "Neutral Disagreement", "Directional Disagreement")))</f>
        <v>Adjacent</v>
      </c>
      <c r="F77" s="5">
        <v>1</v>
      </c>
      <c r="G77" s="8" t="s">
        <v>126</v>
      </c>
      <c r="H77" s="8" t="s">
        <v>127</v>
      </c>
      <c r="I77" s="5">
        <v>2</v>
      </c>
      <c r="J77" s="1" t="s">
        <v>285</v>
      </c>
      <c r="K77" s="1">
        <v>0.55000000000000004</v>
      </c>
      <c r="L77" s="1" t="s">
        <v>286</v>
      </c>
      <c r="M77" s="1" t="s">
        <v>443</v>
      </c>
      <c r="N77" s="1" t="s">
        <v>443</v>
      </c>
      <c r="O77" s="1" t="s">
        <v>444</v>
      </c>
      <c r="P77" s="6" t="s">
        <v>267</v>
      </c>
      <c r="Q77" s="1"/>
    </row>
    <row r="78" spans="1:17" ht="16.5" customHeight="1" x14ac:dyDescent="0.25">
      <c r="A78" t="s">
        <v>105</v>
      </c>
      <c r="B78">
        <v>92</v>
      </c>
      <c r="C78">
        <v>9</v>
      </c>
      <c r="D78" t="s">
        <v>18</v>
      </c>
      <c r="E78" t="str">
        <f>IF(Table1[[#This Row],[System_Code]]=Table1[[#This Row],[My_Code]], "Exact", IF(ABS(Table1[[#This Row],[System_Code]]-Table1[[#This Row],[My_Code]])=1, "Adjacent", IF(OR(Table1[[#This Row],[System_Code]]=0, Table1[[#This Row],[My_Code]]=0), "Neutral Disagreement", "Directional Disagreement")))</f>
        <v>Adjacent</v>
      </c>
      <c r="F78" s="5">
        <v>1</v>
      </c>
      <c r="G78" s="8" t="s">
        <v>106</v>
      </c>
      <c r="H78" s="8" t="s">
        <v>107</v>
      </c>
      <c r="I78" s="5">
        <v>2</v>
      </c>
      <c r="J78" s="1" t="s">
        <v>407</v>
      </c>
      <c r="K78" s="1">
        <v>0.55000000000000004</v>
      </c>
      <c r="L78" s="1" t="s">
        <v>408</v>
      </c>
      <c r="M78" s="1" t="s">
        <v>443</v>
      </c>
      <c r="N78" s="1" t="s">
        <v>443</v>
      </c>
      <c r="O78" s="1" t="s">
        <v>444</v>
      </c>
      <c r="P78" s="6" t="s">
        <v>260</v>
      </c>
      <c r="Q78" s="1"/>
    </row>
    <row r="79" spans="1:17" ht="16.5" customHeight="1" x14ac:dyDescent="0.25">
      <c r="A79" t="s">
        <v>150</v>
      </c>
      <c r="B79">
        <v>2494</v>
      </c>
      <c r="C79">
        <v>1</v>
      </c>
      <c r="D79" t="s">
        <v>18</v>
      </c>
      <c r="E79" t="str">
        <f>IF(Table1[[#This Row],[System_Code]]=Table1[[#This Row],[My_Code]], "Exact", IF(ABS(Table1[[#This Row],[System_Code]]-Table1[[#This Row],[My_Code]])=1, "Adjacent", IF(OR(Table1[[#This Row],[System_Code]]=0, Table1[[#This Row],[My_Code]]=0), "Neutral Disagreement", "Directional Disagreement")))</f>
        <v>Adjacent</v>
      </c>
      <c r="F79" s="5">
        <v>1</v>
      </c>
      <c r="G79" s="8" t="s">
        <v>151</v>
      </c>
      <c r="H79" s="8" t="s">
        <v>80</v>
      </c>
      <c r="I79" s="5">
        <v>2</v>
      </c>
      <c r="J79" s="1" t="s">
        <v>397</v>
      </c>
      <c r="K79" s="1">
        <v>0.35</v>
      </c>
      <c r="L79" s="1" t="s">
        <v>398</v>
      </c>
      <c r="M79" s="1" t="s">
        <v>443</v>
      </c>
      <c r="N79" s="1" t="s">
        <v>443</v>
      </c>
      <c r="O79" s="1" t="s">
        <v>444</v>
      </c>
      <c r="P79" s="6" t="s">
        <v>275</v>
      </c>
      <c r="Q79" s="1"/>
    </row>
    <row r="80" spans="1:17" ht="16.5" customHeight="1" x14ac:dyDescent="0.25">
      <c r="A80" t="s">
        <v>213</v>
      </c>
      <c r="B80">
        <v>2063</v>
      </c>
      <c r="C80">
        <v>1</v>
      </c>
      <c r="D80" t="s">
        <v>38</v>
      </c>
      <c r="E80" t="str">
        <f>IF(Table1[[#This Row],[System_Code]]=Table1[[#This Row],[My_Code]], "Exact", IF(ABS(Table1[[#This Row],[System_Code]]-Table1[[#This Row],[My_Code]])=1, "Adjacent", IF(OR(Table1[[#This Row],[System_Code]]=0, Table1[[#This Row],[My_Code]]=0), "Neutral Disagreement", "Directional Disagreement")))</f>
        <v>Exact</v>
      </c>
      <c r="F80" s="5">
        <v>2</v>
      </c>
      <c r="G80" s="8" t="s">
        <v>214</v>
      </c>
      <c r="H80" s="8" t="s">
        <v>215</v>
      </c>
      <c r="I80" s="5">
        <v>2</v>
      </c>
      <c r="J80" s="1" t="s">
        <v>309</v>
      </c>
      <c r="K80" s="1">
        <v>0.85</v>
      </c>
      <c r="L80" s="1" t="s">
        <v>310</v>
      </c>
      <c r="M80" s="1" t="s">
        <v>443</v>
      </c>
      <c r="N80" s="1" t="s">
        <v>443</v>
      </c>
      <c r="O80" s="1" t="s">
        <v>444</v>
      </c>
      <c r="P80" s="6"/>
      <c r="Q80" s="1"/>
    </row>
    <row r="81" spans="1:17" ht="16.5" customHeight="1" x14ac:dyDescent="0.25">
      <c r="A81" t="s">
        <v>224</v>
      </c>
      <c r="B81">
        <v>4273</v>
      </c>
      <c r="C81">
        <v>10</v>
      </c>
      <c r="D81" t="s">
        <v>18</v>
      </c>
      <c r="E81" t="str">
        <f>IF(Table1[[#This Row],[System_Code]]=Table1[[#This Row],[My_Code]], "Exact", IF(ABS(Table1[[#This Row],[System_Code]]-Table1[[#This Row],[My_Code]])=1, "Adjacent", IF(OR(Table1[[#This Row],[System_Code]]=0, Table1[[#This Row],[My_Code]]=0), "Neutral Disagreement", "Directional Disagreement")))</f>
        <v>Exact</v>
      </c>
      <c r="F81" s="5">
        <v>2</v>
      </c>
      <c r="G81" s="8" t="s">
        <v>225</v>
      </c>
      <c r="H81" s="8" t="s">
        <v>226</v>
      </c>
      <c r="I81" s="5">
        <v>2</v>
      </c>
      <c r="J81" s="1" t="s">
        <v>345</v>
      </c>
      <c r="K81" s="1">
        <v>0.7</v>
      </c>
      <c r="L81" s="1" t="s">
        <v>346</v>
      </c>
      <c r="M81" s="1" t="s">
        <v>443</v>
      </c>
      <c r="N81" s="1" t="s">
        <v>443</v>
      </c>
      <c r="O81" s="1" t="s">
        <v>444</v>
      </c>
      <c r="P81" s="6"/>
      <c r="Q81"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2026-03-16T07:04:38Z</dcterms:created>
  <dcterms:modified xsi:type="dcterms:W3CDTF">2026-04-15T05:33:10Z</dcterms:modified>
</cp:coreProperties>
</file>